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3659510163945f8" /></Relationships>
</file>

<file path=xl/workbook.xml><?xml version="1.0" encoding="utf-8"?>
<x:workbook xmlns:x="http://schemas.openxmlformats.org/spreadsheetml/2006/main">
  <x:sheets>
    <x:sheet xmlns:r="http://schemas.openxmlformats.org/officeDocument/2006/relationships" name="Overview" sheetId="1" r:id="R59798fea43674833"/>
    <x:sheet xmlns:r="http://schemas.openxmlformats.org/officeDocument/2006/relationships" name="Task Tracker" sheetId="2" r:id="R8e37ded0f4354a37"/>
    <x:sheet xmlns:r="http://schemas.openxmlformats.org/officeDocument/2006/relationships" name="Activity Log" sheetId="3" r:id="R3f194bc07f504b29"/>
    <x:sheet xmlns:r="http://schemas.openxmlformats.org/officeDocument/2006/relationships" name="QA Matrix" sheetId="4" r:id="R296366b4c6c146d6"/>
    <x:sheet xmlns:r="http://schemas.openxmlformats.org/officeDocument/2006/relationships" name="Product Gaps" sheetId="5" r:id="Rb861ee4157af471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0d4cc46efd46c0" /><Relationship Type="http://schemas.openxmlformats.org/officeDocument/2006/relationships/theme" Target="/xl/theme/theme1.xml" Id="Rc3a2e1177f0c4795" /><Relationship Type="http://schemas.openxmlformats.org/officeDocument/2006/relationships/sharedStrings" Target="/xl/sharedStrings.xml" Id="Rccb2f736b0064216" /><Relationship Type="http://schemas.openxmlformats.org/officeDocument/2006/relationships/worksheet" Target="/xl/worksheets/sheet1.xml" Id="R59798fea43674833" /><Relationship Type="http://schemas.openxmlformats.org/officeDocument/2006/relationships/worksheet" Target="/xl/worksheets/sheet2.xml" Id="R8e37ded0f4354a37" /><Relationship Type="http://schemas.openxmlformats.org/officeDocument/2006/relationships/worksheet" Target="/xl/worksheets/sheet3.xml" Id="R3f194bc07f504b29" /><Relationship Type="http://schemas.openxmlformats.org/officeDocument/2006/relationships/worksheet" Target="/xl/worksheets/sheet4.xml" Id="R296366b4c6c146d6" /><Relationship Type="http://schemas.openxmlformats.org/officeDocument/2006/relationships/worksheet" Target="/xl/worksheets/sheet5.xml" Id="Rb861ee4157af471a" /></Relationships>
</file>

<file path=xl/tables/table1.xml><?xml version="1.0" encoding="utf-8"?>
<x:table xmlns:x="http://schemas.openxmlformats.org/spreadsheetml/2006/main" id="1" name="TaskTrackerTable" displayName="TaskTrackerTable" ref="A5:Q28"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32"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26"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9"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38af253df3a42a5" /></Relationships>
</file>

<file path=xl/worksheets/_rels/sheet3.xml.rels>&#65279;<?xml version="1.0" encoding="utf-8"?><Relationships xmlns="http://schemas.openxmlformats.org/package/2006/relationships"><Relationship Type="http://schemas.openxmlformats.org/officeDocument/2006/relationships/table" Target="/xl/tables/table2.xml" Id="R2490f85433a94c93" /></Relationships>
</file>

<file path=xl/worksheets/_rels/sheet4.xml.rels>&#65279;<?xml version="1.0" encoding="utf-8"?><Relationships xmlns="http://schemas.openxmlformats.org/package/2006/relationships"><Relationship Type="http://schemas.openxmlformats.org/officeDocument/2006/relationships/table" Target="/xl/tables/table3.xml" Id="R1fea4dbefc734293" /></Relationships>
</file>

<file path=xl/worksheets/_rels/sheet5.xml.rels>&#65279;<?xml version="1.0" encoding="utf-8"?><Relationships xmlns="http://schemas.openxmlformats.org/package/2006/relationships"><Relationship Type="http://schemas.openxmlformats.org/officeDocument/2006/relationships/table" Target="/xl/tables/table4.xml" Id="R13fb3d71db7244e9"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23</x:v>
      </x:c>
      <x:c r="B5" s="135"/>
      <x:c r="C5" s="136" t="n">
        <x:f>COUNTIF('Task Tracker'!$E$6:$E$200,"Done")</x:f>
        <x:v>13</x:v>
      </x:c>
      <x:c r="D5" s="137"/>
      <x:c r="E5" s="138" t="n">
        <x:f>COUNTIF('Task Tracker'!$E$6:$E$200,"In Progress")</x:f>
        <x:v>4</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121</x:v>
      </x:c>
      <x:c r="B9" s="135"/>
      <x:c r="C9" s="136" t="n">
        <x:f>COUNTIF('QA Matrix'!$H$6:$H$200,"Passed")</x:f>
        <x:v>86</x:v>
      </x:c>
      <x:c r="D9" s="137"/>
      <x:c r="E9" s="140" t="n">
        <x:f>COUNTIF('QA Matrix'!$H$6:$H$200,"Failed")</x:f>
        <x:v>14</x:v>
      </x:c>
      <x:c r="F9" s="141"/>
      <x:c r="G9" s="138" t="n">
        <x:f>COUNTIFS('Product Gaps'!$A$6:$A$200,"&lt;&gt;",'Product Gaps'!$H$6:$H$200,"&lt;&gt;Closed",'Product Gaps'!$H$6:$H$200,"&lt;&gt;Resolved",'Product Gaps'!$H$6:$H$200,"&lt;&gt;Mitigated")</x:f>
        <x:v>19</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62" customHeight="1">
      <x:c r="A17" s="120" t="str">
        <x:v>Current</x:v>
      </x:c>
      <x:c r="B17" s="121" t="str">
        <x:v>Browser-Base-QA now ships one CLI and a responsive read-only dashboard over the same registry and artifact evidence; local validation is green.</x:v>
      </x:c>
      <x:c r="C17" s="121" t="str">
        <x:v>Repositories</x:v>
      </x:c>
      <x:c r="D17" s="121" t="str">
        <x:v>PestFlow PR #89 @ 9083c93; Browser-Base-QA @ f477538, shared with yawbtng; PRD, code guide, CLI, and dashboard are current.</x:v>
      </x:c>
      <x:c r="E17" s="121" t="str">
        <x:v>Interface</x:v>
      </x:c>
      <x:c r="F17" s="121" t="str">
        <x:v>browser-base-qa runs the engine; browser-base-qa dashboard displays its evidence without launching tests or mutating PestFlow.</x:v>
      </x:c>
      <x:c r="G17" s="121" t="str">
        <x:v>Review</x:v>
      </x:c>
      <x:c r="H17" s="122" t="str">
        <x:v>The current dashboard is local and latest-artifact based. Durable hosted history and owner authentication are tracked under T-023 / G-023.</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36e7ab7 + Browser-Base-QA e1089df; PR #89</x:v>
      </x:c>
      <x:c r="O8" s="113"/>
      <x:c r="P8" s="113" t="str">
        <x:v>PRD, full implementation guide, provider/field constraints, and provider diagnostic safeguards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Tenant data clean; provider diagnostics now confirmation/idempotency guarded; live operational isolation remains 200/200 until deploy</x:v>
      </x:c>
      <x:c r="N12" s="166" t="str">
        <x:v>36e7ab7; PR #89</x:v>
      </x:c>
      <x:c r="O12" s="166" t="str">
        <x:v>Requires reviewed deploy, 26-constraint proof, provider diagnostic proof, tenant rejection matrix, and restored Actions.</x:v>
      </x:c>
      <x:c r="P12" s="166" t="str">
        <x:v>Branch guards tenant references plus external diagnostic destinations/retries; current production remains uncertified.</x:v>
      </x:c>
      <x:c r="Q12" s="167" t="n">
        <x:v>46216.03611111111</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36e7ab7; PR #89</x:v>
      </x:c>
      <x:c r="O14" s="166"/>
      <x:c r="P14" s="166" t="str">
        <x:v>798-test branch gate passed; exact-head cloud run 29216078831 was zero-step billing blocked.</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e1089df; PR #89 @ 36e7ab7</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constraints, prove provider safeguards, then 32/32 APIs, 81/81 routes, and tenant rejection checks.</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and G-018–G-022; 26 DB guards, provider safeguards, retry-safe email, and full type gate ready; PR #89 @ 9083c93</x:v>
      </x:c>
      <x:c r="N21" s="170" t="str">
        <x:v>9083c93; PR #89</x:v>
      </x:c>
      <x:c r="O21" s="170" t="str">
        <x:v>Needs merge/deploy authority, exact production proof, tenant rejection proof, Browserbase activation, and restored Actions.</x:v>
      </x:c>
      <x:c r="P21" s="170" t="str">
        <x:v>Full local proof is green; exact-head cloud run 29219180313 had zero steps; current production and three historical chemical mismatches remain deliberately uncertified.</x:v>
      </x:c>
      <x:c r="Q21" s="171" t="n">
        <x:v>46216.095138888886</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ht="150" customHeight="1">
      <x:c r="A23" s="170" t="str">
        <x:v>T-018</x:v>
      </x:c>
      <x:c r="B23" s="170" t="str">
        <x:v>Reliability</x:v>
      </x:c>
      <x:c r="C23" s="170" t="str">
        <x:v>Make every direct Resend delivery retry-safe</x:v>
      </x:c>
      <x:c r="D23" s="170" t="str">
        <x:v>All direct Resend email calls carry a privacy-safe deterministic idempotency key and the contract fails if a future call omits it.</x:v>
      </x:c>
      <x:c r="E23" s="170" t="str">
        <x:v>Done</x:v>
      </x:c>
      <x:c r="F23" s="170" t="str">
        <x:v>Critical</x:v>
      </x:c>
      <x:c r="G23" s="170" t="str">
        <x:v>Codex</x:v>
      </x:c>
      <x:c r="H23" s="170" t="str">
        <x:v>Run AST coverage, focused key tests, full unit suite, server typecheck, and production build.</x:v>
      </x:c>
      <x:c r="I23" s="170" t="str">
        <x:v>Not Needed</x:v>
      </x:c>
      <x:c r="J23" s="170" t="str">
        <x:v>Not Needed</x:v>
      </x:c>
      <x:c r="K23" s="170" t="str">
        <x:v>Passed</x:v>
      </x:c>
      <x:c r="L23" s="170" t="str">
        <x:v>N/A</x:v>
      </x:c>
      <x:c r="M23" s="170" t="str">
        <x:v>24/24 direct calls; 4/4 key tests; 808/808 full unit</x:v>
      </x:c>
      <x:c r="N23" s="170" t="str">
        <x:v>9083c93</x:v>
      </x:c>
      <x:c r="O23" s="170" t="str">
        <x:v>Production proof awaits reviewed deploy.</x:v>
      </x:c>
      <x:c r="P23" s="170" t="str">
        <x:v>Same logical delivery reuses a key; intentional manual resend receives a new minute-bucket key.</x:v>
      </x:c>
      <x:c r="Q23" s="171" t="n">
        <x:v>46216.09027777778</x:v>
      </x:c>
    </x:row>
    <x:row r="24" ht="150" customHeight="1">
      <x:c r="A24" s="170" t="str">
        <x:v>T-019</x:v>
      </x:c>
      <x:c r="B24" s="170" t="str">
        <x:v>Quality Gate</x:v>
      </x:c>
      <x:c r="C24" s="170" t="str">
        <x:v>Compile the complete frontend and server graph</x:v>
      </x:c>
      <x:c r="D24" s="170" t="str">
        <x:v>The release workflow typechecks the Vite frontend and every Hono server module, with regression contracts for bugs exposed during adoption.</x:v>
      </x:c>
      <x:c r="E24" s="170" t="str">
        <x:v>Done</x:v>
      </x:c>
      <x:c r="F24" s="170" t="str">
        <x:v>Critical</x:v>
      </x:c>
      <x:c r="G24" s="170" t="str">
        <x:v>Codex</x:v>
      </x:c>
      <x:c r="H24" s="170" t="str">
        <x:v>Run npm run typecheck, server reliability contracts, full unit suite, Guardian policy, incident tests, and Vite build.</x:v>
      </x:c>
      <x:c r="I24" s="170" t="str">
        <x:v>Not Needed</x:v>
      </x:c>
      <x:c r="J24" s="170" t="str">
        <x:v>Not Needed</x:v>
      </x:c>
      <x:c r="K24" s="170" t="str">
        <x:v>Passed</x:v>
      </x:c>
      <x:c r="L24" s="170" t="str">
        <x:v>N/A</x:v>
      </x:c>
      <x:c r="M24" s="170" t="str">
        <x:v>Frontend + server typecheck; 10 reliability contracts; 808/808 unit</x:v>
      </x:c>
      <x:c r="N24" s="170" t="str">
        <x:v>9083c93</x:v>
      </x:c>
      <x:c r="O24" s="170" t="str">
        <x:v>GitHub Actions account capacity remains separately blocked.</x:v>
      </x:c>
      <x:c r="P24" s="170" t="str">
        <x:v>Caught real runtime, Stripe SDK, auth, JSON parameter, mobile role, API response, PDF, and conditional-hook defects.</x:v>
      </x:c>
      <x:c r="Q24" s="171" t="n">
        <x:v>46216.09027777778</x:v>
      </x:c>
    </x:row>
    <x:row r="25" ht="150" customHeight="1">
      <x:c r="A25" s="170" t="str">
        <x:v>T-020</x:v>
      </x:c>
      <x:c r="B25" s="170" t="str">
        <x:v>Browser QA</x:v>
      </x:c>
      <x:c r="C25" s="170" t="str">
        <x:v>Define and verify the hybrid Stagehand + Playwright contract</x:v>
      </x:c>
      <x:c r="D25" s="170" t="str">
        <x:v>One journey uses Stagehand only for adaptable semantic navigation, Playwright for deterministic assertions, and Browserbase for remote execution and evidence; no duplicate suites.</x:v>
      </x:c>
      <x:c r="E25" s="170" t="str">
        <x:v>Done</x:v>
      </x:c>
      <x:c r="F25" s="170" t="str">
        <x:v>Critical</x:v>
      </x:c>
      <x:c r="G25" s="170" t="str">
        <x:v>Codex</x:v>
      </x:c>
      <x:c r="H25" s="170" t="str">
        <x:v>Verify dashboard, service notification, billing, documents, SMS contacts, console health, overflow, and mobile handoff across representative sizes.</x:v>
      </x:c>
      <x:c r="I25" s="170" t="str">
        <x:v>Not Needed</x:v>
      </x:c>
      <x:c r="J25" s="170" t="str">
        <x:v>Not Needed</x:v>
      </x:c>
      <x:c r="K25" s="170" t="str">
        <x:v>Passed</x:v>
      </x:c>
      <x:c r="L25" s="170" t="str">
        <x:v>1440x900, 1280x800, 1024x767, 767x1024</x:v>
      </x:c>
      <x:c r="M25" s="170" t="str">
        <x:v>Dashboard 4/4; service preview 3/3; billing 2/2; SMS 2/2; documents 1/1; zero console errors</x:v>
      </x:c>
      <x:c r="N25" s="170" t="str">
        <x:v>9083c93; 9fafd28</x:v>
      </x:c>
      <x:c r="O25" s="170" t="str">
        <x:v>Live Browserbase sessions still require project secrets/context.</x:v>
      </x:c>
      <x:c r="P25" s="170" t="str">
        <x:v>Browserbase is infrastructure, Stagehand is the adaptable operator, and Playwright is the strict referee.</x:v>
      </x:c>
      <x:c r="Q25" s="171" t="n">
        <x:v>46216.09027777778</x:v>
      </x:c>
    </x:row>
    <x:row r="26" ht="150" customHeight="1">
      <x:c r="A26" s="170" t="str">
        <x:v>T-021</x:v>
      </x:c>
      <x:c r="B26" s="170" t="str">
        <x:v>Debt Burn-down</x:v>
      </x:c>
      <x:c r="C26" s="170" t="str">
        <x:v>Eliminate repository lint and build-warning debt</x:v>
      </x:c>
      <x:c r="D26" s="170" t="str">
        <x:v>Repository-wide ESLint is green and browser build warnings are either fixed or measured with explicit budgets.</x:v>
      </x:c>
      <x:c r="E26" s="170" t="str">
        <x:v>In Progress</x:v>
      </x:c>
      <x:c r="F26" s="170" t="str">
        <x:v>High</x:v>
      </x:c>
      <x:c r="G26" s="170" t="str">
        <x:v>Trevor + Codex</x:v>
      </x:c>
      <x:c r="H26" s="170" t="str">
        <x:v>Fix by bounded file family, rerun full lint, update bundle budgets, refresh browserslist data, and retain regression tests.</x:v>
      </x:c>
      <x:c r="I26" s="170" t="str">
        <x:v>Not Needed</x:v>
      </x:c>
      <x:c r="J26" s="170" t="str">
        <x:v>Not Needed</x:v>
      </x:c>
      <x:c r="K26" s="170" t="str">
        <x:v>Pending</x:v>
      </x:c>
      <x:c r="L26" s="170" t="str">
        <x:v>All desktop sizes after each behavior-affecting batch</x:v>
      </x:c>
      <x:c r="M26" s="170" t="str">
        <x:v>G-021; G-022</x:v>
      </x:c>
      <x:c r="N26" s="170" t="str">
        <x:v>Pending future checkpoints</x:v>
      </x:c>
      <x:c r="O26" s="170" t="str">
        <x:v>Large pre-existing baseline must be reduced without hiding rules or mass-changing behavior.</x:v>
      </x:c>
      <x:c r="P26" s="170" t="str">
        <x:v>High-signal conditional-hook and side-effect findings in touched paths are already fixed and clean.</x:v>
      </x:c>
      <x:c r="Q26" s="171" t="n">
        <x:v>46216.09027777778</x:v>
      </x:c>
    </x:row>
    <x:row r="27" ht="150" customHeight="1">
      <x:c r="A27" s="170" t="str">
        <x:v>T-022</x:v>
      </x:c>
      <x:c r="B27" s="170" t="str">
        <x:v>Product Surface</x:v>
      </x:c>
      <x:c r="C27" s="170" t="str">
        <x:v>Ship one QA CLI with an artifact-backed dashboard</x:v>
      </x:c>
      <x:c r="D27" s="170" t="str">
        <x:v>A single browser-base-qa command lists, plans, runs, checks oracles, calculates the verdict, and starts a responsive read-only dashboard from the same evidence.</x:v>
      </x:c>
      <x:c r="E27" s="170" t="str">
        <x:v>Done</x:v>
      </x:c>
      <x:c r="F27" s="170" t="str">
        <x:v>Critical</x:v>
      </x:c>
      <x:c r="G27" s="170" t="str">
        <x:v>Codex</x:v>
      </x:c>
      <x:c r="H27" s="170" t="str">
        <x:v>Test command delegation and exit behavior; verify dashboard API/security; inspect desktop/mobile layout, refresh, console, and overflow.</x:v>
      </x:c>
      <x:c r="I27" s="170" t="str">
        <x:v>Not Needed</x:v>
      </x:c>
      <x:c r="J27" s="170" t="str">
        <x:v>Not Needed</x:v>
      </x:c>
      <x:c r="K27" s="170" t="str">
        <x:v>Passed</x:v>
      </x:c>
      <x:c r="L27" s="170" t="str">
        <x:v>1440x900 desktop; 390x844 mobile</x:v>
      </x:c>
      <x:c r="M27" s="170" t="str">
        <x:v>10/10 tests; 12-entry dry run; dashboard 200/405/404; 0 browser errors</x:v>
      </x:c>
      <x:c r="N27" s="170" t="str">
        <x:v>f477538</x:v>
      </x:c>
      <x:c r="O27" s="170" t="str">
        <x:v>Live sessions still require Browserbase configuration.</x:v>
      </x:c>
      <x:c r="P27" s="170" t="str">
        <x:v>The dashboard reads artifacts only; it does not trigger QA or mutate PestFlow.</x:v>
      </x:c>
      <x:c r="Q27" s="171" t="n">
        <x:v>46216.149305555555</x:v>
      </x:c>
    </x:row>
    <x:row r="28" ht="150" customHeight="1">
      <x:c r="A28" s="170" t="str">
        <x:v>T-023</x:v>
      </x:c>
      <x:c r="B28" s="170" t="str">
        <x:v>Command Center</x:v>
      </x:c>
      <x:c r="C28" s="170" t="str">
        <x:v>Add durable hosted dashboard history and owner access</x:v>
      </x:c>
      <x:c r="D28" s="170" t="str">
        <x:v>Authorized owners can securely review historical runs, incidents, costs, replays, and trends without relying on one machine's artifact folder.</x:v>
      </x:c>
      <x:c r="E28" s="170" t="str">
        <x:v>Not Started</x:v>
      </x:c>
      <x:c r="F28" s="170" t="str">
        <x:v>High</x:v>
      </x:c>
      <x:c r="G28" s="170" t="str">
        <x:v>Trevor + Codex</x:v>
      </x:c>
      <x:c r="H28" s="170" t="str">
        <x:v>Design the durable run schema and auth boundary, import current artifacts, add retention/redaction policy, then test tenant and role isolation.</x:v>
      </x:c>
      <x:c r="I28" s="170" t="str">
        <x:v>Not Needed</x:v>
      </x:c>
      <x:c r="J28" s="170" t="str">
        <x:v>Not Needed</x:v>
      </x:c>
      <x:c r="K28" s="170" t="str">
        <x:v>Pending</x:v>
      </x:c>
      <x:c r="L28" s="170" t="str">
        <x:v>Desktop, tablet, and mobile before launch</x:v>
      </x:c>
      <x:c r="M28" s="170" t="str">
        <x:v>G-023; local dashboard foundation @ f477538</x:v>
      </x:c>
      <x:c r="N28" s="170" t="str">
        <x:v>Pending future checkpoint</x:v>
      </x:c>
      <x:c r="O28" s="170" t="str">
        <x:v>Needs hosting, storage, authentication, retention, and operating-cost decisions.</x:v>
      </x:c>
      <x:c r="P28" s="170" t="str">
        <x:v>Do not add remote mutation controls until read-only ownership and auditability are proven.</x:v>
      </x:c>
      <x:c r="Q28" s="171" t="n">
        <x:v>46216.149305555555</x:v>
      </x:c>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e38af253df3a42a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ht="132" customHeight="1">
      <x:c r="A120" s="174" t="str">
        <x:v>AL-115</x:v>
      </x:c>
      <x:c r="B120" s="176" t="n">
        <x:v>46216.03611111111</x:v>
      </x:c>
      <x:c r="C120" s="174" t="str">
        <x:v>T-007</x:v>
      </x:c>
      <x:c r="D120" s="174" t="str">
        <x:v>Sweep remaining external-provider diagnostics</x:v>
      </x:c>
      <x:c r="E120" s="174" t="str">
        <x:v>Inventoried authenticated routes that can email, text, invite, charge, or call Stripe/Resend and traced their UI callers and existing confirmation/idempotency boundaries.</x:v>
      </x:c>
      <x:c r="F120" s="174" t="str">
        <x:v>Source + caller audit</x:v>
      </x:c>
      <x:c r="G120" s="174" t="str">
        <x:v>Two diagnostic safety gaps confirmed</x:v>
      </x:c>
      <x:c r="H120" s="174" t="str">
        <x:v>The staging 28-email proof was callable in production, and the real $1 Stripe test-send had no server confirmation or retry idempotency.</x:v>
      </x:c>
      <x:c r="I120" s="174" t="str">
        <x:v>Provider boundary</x:v>
      </x:c>
      <x:c r="J120" s="174" t="str">
        <x:v>server/routes/feature-actions.ts; server/routes/invoices.ts</x:v>
      </x:c>
      <x:c r="K120" s="174" t="str">
        <x:v>G-020</x:v>
      </x:c>
      <x:c r="L120" s="174" t="str">
        <x:v>Fail closed for staging-only bulk proof and deduplicate intentional Stripe diagnostics.</x:v>
      </x:c>
      <x:c r="M120" s="174" t="str">
        <x:v>Done</x:v>
      </x:c>
      <x:c r="N120" s="174" t="str">
        <x:v>No live provider action was executed during discovery or validation.</x:v>
      </x:c>
    </x:row>
    <x:row r="121" ht="132" customHeight="1">
      <x:c r="A121" s="174" t="str">
        <x:v>AL-116</x:v>
      </x:c>
      <x:c r="B121" s="176" t="n">
        <x:v>46216.03611111111</x:v>
      </x:c>
      <x:c r="C121" s="174" t="str">
        <x:v>T-016</x:v>
      </x:c>
      <x:c r="D121" s="174" t="str">
        <x:v>Make provider diagnostics fail safe</x:v>
      </x:c>
      <x:c r="E121" s="174" t="str">
        <x:v>Returned 404 for the 28-email batch in production; required a server-verified confirmation for Stripe test-send; added operation-specific Stripe idempotency across customer, invoice, item, finalize, and send; updated all four callers.</x:v>
      </x:c>
      <x:c r="F121" s="174" t="str">
        <x:v>PestFlow API + desktop/mobile UI</x:v>
      </x:c>
      <x:c r="G121" s="174" t="str">
        <x:v>Accidental provider duplication prevented</x:v>
      </x:c>
      <x:c r="H121" s="174" t="str">
        <x:v>Retries to the same company/email within ten minutes reuse the same Stripe operations, while intentional one-off owner diagnostics still work.</x:v>
      </x:c>
      <x:c r="I121" s="174" t="str">
        <x:v>API + provider</x:v>
      </x:c>
      <x:c r="J121" s="174" t="str">
        <x:v>server/routes/invoices.ts; server/routes/feature-actions.ts</x:v>
      </x:c>
      <x:c r="K121" s="174" t="str">
        <x:v>36e7ab7; PR #89</x:v>
      </x:c>
      <x:c r="L121" s="174" t="str">
        <x:v>Deploy and prove production bulk-preview denial before enabling live diagnostic certification.</x:v>
      </x:c>
      <x:c r="M121" s="174" t="str">
        <x:v>Done</x:v>
      </x:c>
      <x:c r="N121" s="174" t="str">
        <x:v>Also removed 15 touched-file explicit-any violations from MobileInvoicesPage instead of hiding lint debt.</x:v>
      </x:c>
    </x:row>
    <x:row r="122" ht="132" customHeight="1">
      <x:c r="A122" s="174" t="str">
        <x:v>AL-117</x:v>
      </x:c>
      <x:c r="B122" s="176" t="n">
        <x:v>46216.03611111111</x:v>
      </x:c>
      <x:c r="C122" s="174" t="str">
        <x:v>T-009</x:v>
      </x:c>
      <x:c r="D122" s="174" t="str">
        <x:v>Validate and publish provider diagnostic safeguards</x:v>
      </x:c>
      <x:c r="E122" s="174" t="str">
        <x:v>Ran the complete gate, pushed PestFlow 36e7ab7, and synchronized the updated PRD and implementation guide to Browser-Base-QA e1089df.</x:v>
      </x:c>
      <x:c r="F122" s="174" t="str">
        <x:v>Vitest + Node + TypeScript + ESLint + Vite + GitHub</x:v>
      </x:c>
      <x:c r="G122" s="174" t="str">
        <x:v>Provider safeguards published</x:v>
      </x:c>
      <x:c r="H122" s="174" t="str">
        <x:v>798/798 unit across 79 files, 48/48 Guardian policy, 16/16 incident, typecheck, lint, and the 5,699-module build passed. Browser-Base-QA passed 6/6.</x:v>
      </x:c>
      <x:c r="I122" s="174" t="str">
        <x:v>Code + documentation</x:v>
      </x:c>
      <x:c r="J122" s="174" t="str">
        <x:v>https://github.com/gicheru214/pestflow-checkout-rebuild/pull/89</x:v>
      </x:c>
      <x:c r="K122" s="174" t="str">
        <x:v>36e7ab7; e1089df</x:v>
      </x:c>
      <x:c r="L122" s="174" t="str">
        <x:v>Record the exact-head cloud gate and update the shared tracker.</x:v>
      </x:c>
      <x:c r="M122" s="174" t="str">
        <x:v>Done</x:v>
      </x:c>
      <x:c r="N122" s="174" t="str">
        <x:v>Focused provider-safety suite passed 8/8; no Stripe or Resend network request was made by validation.</x:v>
      </x:c>
    </x:row>
    <x:row r="123" ht="132" customHeight="1">
      <x:c r="A123" s="174" t="str">
        <x:v>AL-118</x:v>
      </x:c>
      <x:c r="B123" s="176" t="n">
        <x:v>46216.03611111111</x:v>
      </x:c>
      <x:c r="C123" s="174" t="str">
        <x:v>T-011</x:v>
      </x:c>
      <x:c r="D123" s="174" t="str">
        <x:v>Classify exact diagnostic-safety PR gate</x:v>
      </x:c>
      <x:c r="E123" s="174" t="str">
        <x:v>Inspected the automatic release gate for exact PestFlow head 36e7ab7 and verified whether any command executed.</x:v>
      </x:c>
      <x:c r="F123" s="174" t="str">
        <x:v>GitHub Actions</x:v>
      </x:c>
      <x:c r="G123" s="174" t="str">
        <x:v>Cloud gate blocked before execution</x:v>
      </x:c>
      <x:c r="H123" s="174" t="str">
        <x:v>Run 29216078831, job 86712135690 had zero steps under the same verified account billing/spending refusal.</x:v>
      </x:c>
      <x:c r="I123" s="174" t="str">
        <x:v>GitHub runner</x:v>
      </x:c>
      <x:c r="J123" s="174" t="str">
        <x:v>https://github.com/gicheru214/pestflow-checkout-rebuild/actions/runs/29216078831</x:v>
      </x:c>
      <x:c r="K123" s="174" t="str">
        <x:v>36e7ab7; PR #89</x:v>
      </x:c>
      <x:c r="L123" s="174" t="str">
        <x:v>Restore Actions capacity and rerun the exact-head release gate.</x:v>
      </x:c>
      <x:c r="M123" s="174" t="str">
        <x:v>Blocked</x:v>
      </x:c>
      <x:c r="N123" s="174" t="str">
        <x:v>The red check contains no product-test verdict.</x:v>
      </x:c>
    </x:row>
    <x:row r="124" ht="142" customHeight="1">
      <x:c r="A124" s="174" t="str">
        <x:v>AL-119</x:v>
      </x:c>
      <x:c r="B124" s="176" t="n">
        <x:v>46216.09027777778</x:v>
      </x:c>
      <x:c r="C124" s="174" t="str">
        <x:v>T-018</x:v>
      </x:c>
      <x:c r="D124" s="174" t="str">
        <x:v>Inventory and harden all direct Resend deliveries</x:v>
      </x:c>
      <x:c r="E124" s="174" t="str">
        <x:v>Traced every direct Resend API call and added deterministic, privacy-safe idempotency keys using durable record IDs or explicit manual-resend time buckets.</x:v>
      </x:c>
      <x:c r="F124" s="174" t="str">
        <x:v>PestFlow server</x:v>
      </x:c>
      <x:c r="G124" s="174" t="str">
        <x:v>24/24 direct calls protected</x:v>
      </x:c>
      <x:c r="H124" s="174" t="str">
        <x:v>A TypeScript AST contract now fails if a future Resend call omits the inline Idempotency-Key header.</x:v>
      </x:c>
      <x:c r="I124" s="174" t="str">
        <x:v>Server email paths</x:v>
      </x:c>
      <x:c r="J124" s="174" t="str">
        <x:v>server/lib/resendIdempotency.ts; src/test/resendIdempotencyCoverage.test.ts</x:v>
      </x:c>
      <x:c r="K124" s="174" t="str">
        <x:v>9083c93</x:v>
      </x:c>
      <x:c r="L124" s="174" t="str">
        <x:v>Deploy and retain provider response IDs for live operational reconciliation.</x:v>
      </x:c>
      <x:c r="M124" s="174" t="str">
        <x:v>Done</x:v>
      </x:c>
      <x:c r="N124" s="174" t="str">
        <x:v>No email or provider request was sent during implementation or validation.</x:v>
      </x:c>
    </x:row>
    <x:row r="125" ht="142" customHeight="1">
      <x:c r="A125" s="174" t="str">
        <x:v>AL-120</x:v>
      </x:c>
      <x:c r="B125" s="176" t="n">
        <x:v>46216.09027777778</x:v>
      </x:c>
      <x:c r="C125" s="174" t="str">
        <x:v>T-019</x:v>
      </x:c>
      <x:c r="D125" s="174" t="str">
        <x:v>Adopt a full frontend and server compiler gate</x:v>
      </x:c>
      <x:c r="E125" s="174" t="str">
        <x:v>Added a dedicated server tsconfig, wired both TypeScript graphs into the release workflow, and repaired the runtime and SDK defects the compiler exposed.</x:v>
      </x:c>
      <x:c r="F125" s="174" t="str">
        <x:v>TypeScript + source contracts</x:v>
      </x:c>
      <x:c r="G125" s="174" t="str">
        <x:v>Complete graph typechecks</x:v>
      </x:c>
      <x:c r="H125" s="174" t="str">
        <x:v>Repairs include Website Chat import, Stripe embedded/session APIs, SetupIntent account options, current invoice subscription shape, SQL JSON parameters, auth narrowing, mobile role, API shapes, and PDF canvas.</x:v>
      </x:c>
      <x:c r="I125" s="174" t="str">
        <x:v>Frontend + API</x:v>
      </x:c>
      <x:c r="J125" s="174" t="str">
        <x:v>tsconfig.server.json; src/test/serverReliabilityContracts.test.ts; src/test/frontendReliabilityContracts.test.ts</x:v>
      </x:c>
      <x:c r="K125" s="174" t="str">
        <x:v>9083c93</x:v>
      </x:c>
      <x:c r="L125" s="174" t="str">
        <x:v>Keep every newly discovered runtime contract locked by focused tests.</x:v>
      </x:c>
      <x:c r="M125" s="174" t="str">
        <x:v>Done</x:v>
      </x:c>
      <x:c r="N125" s="174" t="str">
        <x:v>The release workflow now rejects compile drift before browser execution.</x:v>
      </x:c>
    </x:row>
    <x:row r="126" ht="142" customHeight="1">
      <x:c r="A126" s="174" t="str">
        <x:v>AL-121</x:v>
      </x:c>
      <x:c r="B126" s="176" t="n">
        <x:v>46216.09027777778</x:v>
      </x:c>
      <x:c r="C126" s="174" t="str">
        <x:v>T-019</x:v>
      </x:c>
      <x:c r="D126" s="174" t="str">
        <x:v>Run the complete local reliability gate</x:v>
      </x:c>
      <x:c r="E126" s="174" t="str">
        <x:v>Ran both compiler graphs, the complete unit suite, Guardian policy suite, incident suite, focused reliability contracts, production build, and high-signal touched-file lint.</x:v>
      </x:c>
      <x:c r="F126" s="174" t="str">
        <x:v>Vitest + Node + TypeScript + ESLint + Vite</x:v>
      </x:c>
      <x:c r="G126" s="174" t="str">
        <x:v>Branch validation passed</x:v>
      </x:c>
      <x:c r="H126" s="174" t="str">
        <x:v>808/808 unit across 82 files, 48/48 Guardian policy, 16/16 incident, focused 51/51, typecheck, and 5,699-module build passed.</x:v>
      </x:c>
      <x:c r="I126" s="174" t="str">
        <x:v>Code + automation</x:v>
      </x:c>
      <x:c r="J126" s="174" t="str">
        <x:v>package.json; .github/workflows/desktop-qa-release-gate.yml</x:v>
      </x:c>
      <x:c r="K126" s="174" t="str">
        <x:v>9083c93</x:v>
      </x:c>
      <x:c r="L126" s="174" t="str">
        <x:v>Restore GitHub Actions billing/spending capacity and rerun the exact head in the cloud.</x:v>
      </x:c>
      <x:c r="M126" s="174" t="str">
        <x:v>Done</x:v>
      </x:c>
      <x:c r="N126" s="174" t="str">
        <x:v>Full ESLint remains red on a quantified pre-existing baseline and is tracked separately, not mislabeled green.</x:v>
      </x:c>
    </x:row>
    <x:row r="127" ht="142" customHeight="1">
      <x:c r="A127" s="174" t="str">
        <x:v>AL-122</x:v>
      </x:c>
      <x:c r="B127" s="176" t="n">
        <x:v>46216.09027777778</x:v>
      </x:c>
      <x:c r="C127" s="174" t="str">
        <x:v>T-020</x:v>
      </x:c>
      <x:c r="D127" s="174" t="str">
        <x:v>Verify critical desktop surfaces in a real browser</x:v>
      </x:c>
      <x:c r="E127" s="174" t="str">
        <x:v>Checked authenticated dev-mode dashboard, service notification preview, billing, documents, SMS contacts, and the mobile document handoff across representative viewport sizes.</x:v>
      </x:c>
      <x:c r="F127" s="174" t="str">
        <x:v>In-app browser + Playwright assertions</x:v>
      </x:c>
      <x:c r="G127" s="174" t="str">
        <x:v>12 responsive route-size checks passed</x:v>
      </x:c>
      <x:c r="H127" s="174" t="str">
        <x:v>No horizontal overflow, visible runtime alert, missing primary heading, or console error was found; the document job handoff reached the field app.</x:v>
      </x:c>
      <x:c r="I127" s="174" t="str">
        <x:v>1440x900, 1280x800, 1024x767, 767x1024</x:v>
      </x:c>
      <x:c r="J127" s="174" t="str">
        <x:v>Local preview http://127.0.0.1:4173</x:v>
      </x:c>
      <x:c r="K127" s="174" t="str">
        <x:v>9083c93</x:v>
      </x:c>
      <x:c r="L127" s="174" t="str">
        <x:v>Repeat the same deterministic checks on the exact deployed SHA through Browserbase.</x:v>
      </x:c>
      <x:c r="M127" s="174" t="str">
        <x:v>Done</x:v>
      </x:c>
      <x:c r="N127" s="174" t="str">
        <x:v>Viewport was reset after verification.</x:v>
      </x:c>
    </x:row>
    <x:row r="128" ht="142" customHeight="1">
      <x:c r="A128" s="174" t="str">
        <x:v>AL-123</x:v>
      </x:c>
      <x:c r="B128" s="176" t="n">
        <x:v>46216.09027777778</x:v>
      </x:c>
      <x:c r="C128" s="174" t="str">
        <x:v>T-020</x:v>
      </x:c>
      <x:c r="D128" s="174" t="str">
        <x:v>Document the non-duplicative browser architecture</x:v>
      </x:c>
      <x:c r="E128" s="174" t="str">
        <x:v>Defined one hybrid journey contract: Stagehand handles semantic/adaptive navigation, Playwright owns exact assertions and network evidence, and Browserbase hosts remote sessions and recordings.</x:v>
      </x:c>
      <x:c r="F128" s="174" t="str">
        <x:v>PRD + implementation guide</x:v>
      </x:c>
      <x:c r="G128" s="174" t="str">
        <x:v>Architecture clarified</x:v>
      </x:c>
      <x:c r="H128" s="174" t="str">
        <x:v>The separation avoids parallel duplicate suites while retaining self-healing navigation and deterministic release verdicts.</x:v>
      </x:c>
      <x:c r="I128" s="174" t="str">
        <x:v>Browser-Base-QA + PestFlow</x:v>
      </x:c>
      <x:c r="J128" s="174" t="str">
        <x:v>docs/PRD.md; docs/PESTFLOW_QA_IMPLEMENTATION_GUIDE.md</x:v>
      </x:c>
      <x:c r="K128" s="174" t="str">
        <x:v>9083c93; 9fafd28</x:v>
      </x:c>
      <x:c r="L128" s="174" t="str">
        <x:v>Activate Browserbase secrets and run the same candidate workflow against an approved QA tenant.</x:v>
      </x:c>
      <x:c r="M128" s="174" t="str">
        <x:v>Done</x:v>
      </x:c>
      <x:c r="N128" s="174" t="str">
        <x:v>Browserbase does not replace Stagehand; Stagehand runs on Browserbase and can interoperate with Playwright.</x:v>
      </x:c>
    </x:row>
    <x:row r="129" ht="142" customHeight="1">
      <x:c r="A129" s="174" t="str">
        <x:v>AL-124</x:v>
      </x:c>
      <x:c r="B129" s="176" t="n">
        <x:v>46216.095138888886</x:v>
      </x:c>
      <x:c r="C129" s="174" t="str">
        <x:v>T-011</x:v>
      </x:c>
      <x:c r="D129" s="174" t="str">
        <x:v>Classify exact full-stack PR gate</x:v>
      </x:c>
      <x:c r="E129" s="174" t="str">
        <x:v>Inspected the automatic release gate for exact PestFlow head 9083c93, verified that no command ran, and read the GitHub check annotation.</x:v>
      </x:c>
      <x:c r="F129" s="174" t="str">
        <x:v>GitHub Actions</x:v>
      </x:c>
      <x:c r="G129" s="174" t="str">
        <x:v>Cloud gate blocked before execution</x:v>
      </x:c>
      <x:c r="H129" s="174" t="str">
        <x:v>Run 29219180313, job 86720836158 had zero steps because recent account payments failed or the spending limit must be increased.</x:v>
      </x:c>
      <x:c r="I129" s="174" t="str">
        <x:v>GitHub runner</x:v>
      </x:c>
      <x:c r="J129" s="174" t="str">
        <x:v>https://github.com/gicheru214/pestflow-checkout-rebuild/actions/runs/29219180313</x:v>
      </x:c>
      <x:c r="K129" s="174" t="str">
        <x:v>9083c93; PR #89</x:v>
      </x:c>
      <x:c r="L129" s="174" t="str">
        <x:v>Restore Actions capacity and rerun the exact-head type, unit, policy, incident, build, and browser gate.</x:v>
      </x:c>
      <x:c r="M129" s="174" t="str">
        <x:v>Blocked</x:v>
      </x:c>
      <x:c r="N129" s="174" t="str">
        <x:v>The red check is infrastructure evidence and contains no PestFlow product-test verdict.</x:v>
      </x:c>
    </x:row>
    <x:row r="130" ht="142" customHeight="1">
      <x:c r="A130" s="174" t="str">
        <x:v>AL-125</x:v>
      </x:c>
      <x:c r="B130" s="176" t="n">
        <x:v>46216.149305555555</x:v>
      </x:c>
      <x:c r="C130" s="174" t="str">
        <x:v>T-022</x:v>
      </x:c>
      <x:c r="D130" s="174" t="str">
        <x:v>Unify the QA command surface</x:v>
      </x:c>
      <x:c r="E130" s="174" t="str">
        <x:v>Added the browser-base-qa executable with list, plan, run, oracles, verdict, and dashboard subcommands while preserving each guarded program's exit code.</x:v>
      </x:c>
      <x:c r="F130" s="174" t="str">
        <x:v>Node CLI</x:v>
      </x:c>
      <x:c r="G130" s="174" t="str">
        <x:v>One operational entry point</x:v>
      </x:c>
      <x:c r="H130" s="174" t="str">
        <x:v>Command help, command-specific help, tier filtering, dry-run selection, packaging, and executable permissions were verified.</x:v>
      </x:c>
      <x:c r="I130" s="174" t="str">
        <x:v>Local + package</x:v>
      </x:c>
      <x:c r="J130" s="174" t="str">
        <x:v>bin/browser-base-qa.mjs; package.json</x:v>
      </x:c>
      <x:c r="K130" s="174" t="str">
        <x:v>f477538</x:v>
      </x:c>
      <x:c r="L130" s="174" t="str">
        <x:v>Use the same command from CI and operator runbooks instead of maintaining shell-specific aliases.</x:v>
      </x:c>
      <x:c r="M130" s="174" t="str">
        <x:v>Done</x:v>
      </x:c>
      <x:c r="N130" s="174" t="str">
        <x:v>The CLI delegates to existing policy-enforced programs rather than cloning their logic.</x:v>
      </x:c>
    </x:row>
    <x:row r="131" ht="142" customHeight="1">
      <x:c r="A131" s="174" t="str">
        <x:v>AL-126</x:v>
      </x:c>
      <x:c r="B131" s="176" t="n">
        <x:v>46216.149305555555</x:v>
      </x:c>
      <x:c r="C131" s="174" t="str">
        <x:v>T-022</x:v>
      </x:c>
      <x:c r="D131" s="174" t="str">
        <x:v>Build the local Reliability Command Center dashboard</x:v>
      </x:c>
      <x:c r="E131" s="174" t="str">
        <x:v>Added a localhost-only responsive dashboard that normalizes registry and artifact evidence into release readiness, blockers, coverage, journeys, oracles, replays, and registry views.</x:v>
      </x:c>
      <x:c r="F131" s="174" t="str">
        <x:v>Read-only dashboard</x:v>
      </x:c>
      <x:c r="G131" s="174" t="str">
        <x:v>Artifact-backed UI operational</x:v>
      </x:c>
      <x:c r="H131" s="174" t="str">
        <x:v>The server rejects non-GET requests, exposes only normalized fields, redacts secret-like text, allowlists Browserbase replay domains, and sets strict browser security headers.</x:v>
      </x:c>
      <x:c r="I131" s="174" t="str">
        <x:v>Desktop + mobile</x:v>
      </x:c>
      <x:c r="J131" s="174" t="str">
        <x:v>dashboard/; scripts/qa-dashboard-server.mjs; scripts/lib/qa-dashboard-model.mjs</x:v>
      </x:c>
      <x:c r="K131" s="174" t="str">
        <x:v>f477538</x:v>
      </x:c>
      <x:c r="L131" s="174" t="str">
        <x:v>Add durable hosted history only after owner auth, storage, and retention contracts are approved.</x:v>
      </x:c>
      <x:c r="M131" s="174" t="str">
        <x:v>Done</x:v>
      </x:c>
      <x:c r="N131" s="174" t="str">
        <x:v>Refresh reads current evidence every 15 seconds but never reruns tests or writes to PestFlow.</x:v>
      </x:c>
    </x:row>
    <x:row r="132" ht="142" customHeight="1">
      <x:c r="A132" s="174" t="str">
        <x:v>AL-127</x:v>
      </x:c>
      <x:c r="B132" s="176" t="n">
        <x:v>46216.149305555555</x:v>
      </x:c>
      <x:c r="C132" s="174" t="str">
        <x:v>T-022</x:v>
      </x:c>
      <x:c r="D132" s="174" t="str">
        <x:v>Validate, document, and publish CLI plus dashboard</x:v>
      </x:c>
      <x:c r="E132" s="174" t="str">
        <x:v>Ran the full repository tests, CLI list/dry-run, audit threshold, package manifest check, dashboard HTTP contracts, and real-browser desktop/mobile verification; updated README, PRD, and code guides.</x:v>
      </x:c>
      <x:c r="F132" s="174" t="str">
        <x:v>Node + browser + GitHub</x:v>
      </x:c>
      <x:c r="G132" s="174" t="str">
        <x:v>CLI/dashboard checkpoint published</x:v>
      </x:c>
      <x:c r="H132" s="174" t="str">
        <x:v>10/10 tests passed; tier-1 dry run selected 12 entries; package contained 38 files; dashboard rendered 6 metrics and 5 registry rows with no overflow or console errors.</x:v>
      </x:c>
      <x:c r="I132" s="174" t="str">
        <x:v>1440x900; 390x844</x:v>
      </x:c>
      <x:c r="J132" s="174" t="str">
        <x:v>https://github.com/gicheru214/Browser-Base-QA</x:v>
      </x:c>
      <x:c r="K132" s="174" t="str">
        <x:v>f477538</x:v>
      </x:c>
      <x:c r="L132" s="174" t="str">
        <x:v>Record this checkpoint in the shared tracker and continue with T-023 only after product decisions.</x:v>
      </x:c>
      <x:c r="M132" s="174" t="str">
        <x:v>Done</x:v>
      </x:c>
      <x:c r="N132" s="174" t="str">
        <x:v>npm audit remained below the moderate blocking threshold; 19 low Stagehand transitive advisories remain documented.</x:v>
      </x:c>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2490f85433a94c9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ht="94" customHeight="1">
      <x:c r="A110" s="174" t="str">
        <x:v>QA-105</x:v>
      </x:c>
      <x:c r="B110" s="174" t="str">
        <x:v>Security</x:v>
      </x:c>
      <x:c r="C110" s="174" t="str">
        <x:v>Production bulk-email preview denial</x:v>
      </x:c>
      <x:c r="D110" s="174" t="str">
        <x:v>28-template preview endpoint</x:v>
      </x:c>
      <x:c r="E110" s="174" t="str">
        <x:v>Vitest</x:v>
      </x:c>
      <x:c r="F110" s="174" t="str">
        <x:v>Yes</x:v>
      </x:c>
      <x:c r="G110" s="174" t="str">
        <x:v>T-016</x:v>
      </x:c>
      <x:c r="H110" s="174" t="str">
        <x:v>Passed</x:v>
      </x:c>
      <x:c r="I110" s="176" t="n">
        <x:v>46216.03611111111</x:v>
      </x:c>
      <x:c r="J110" s="174" t="str">
        <x:v>404 before SQL/provider</x:v>
      </x:c>
      <x:c r="K110" s="174" t="str">
        <x:v>Production request returned Not found; fetch and SQL mocks remained untouched.</x:v>
      </x:c>
    </x:row>
    <x:row r="111" ht="94" customHeight="1">
      <x:c r="A111" s="174" t="str">
        <x:v>QA-106</x:v>
      </x:c>
      <x:c r="B111" s="174" t="str">
        <x:v>Reliability</x:v>
      </x:c>
      <x:c r="C111" s="174" t="str">
        <x:v>Stripe diagnostic confirmation and idempotency</x:v>
      </x:c>
      <x:c r="D111" s="174" t="str">
        <x:v>Server route + four callers</x:v>
      </x:c>
      <x:c r="E111" s="174" t="str">
        <x:v>Source contract + TypeScript</x:v>
      </x:c>
      <x:c r="F111" s="174" t="str">
        <x:v>Yes</x:v>
      </x:c>
      <x:c r="G111" s="174" t="str">
        <x:v>T-016</x:v>
      </x:c>
      <x:c r="H111" s="174" t="str">
        <x:v>Passed</x:v>
      </x:c>
      <x:c r="I111" s="176" t="n">
        <x:v>46216.03611111111</x:v>
      </x:c>
      <x:c r="J111" s="174" t="str">
        <x:v>5/5 operations idempotent</x:v>
      </x:c>
      <x:c r="K111" s="174" t="str">
        <x:v>Confirmation precedes company/Stripe lookup; customer, invoice, item, finalize, and send use operation-specific keys in a ten-minute window.</x:v>
      </x:c>
    </x:row>
    <x:row r="112" ht="94" customHeight="1">
      <x:c r="A112" s="174" t="str">
        <x:v>QA-107</x:v>
      </x:c>
      <x:c r="B112" s="174" t="str">
        <x:v>Quality</x:v>
      </x:c>
      <x:c r="C112" s="174" t="str">
        <x:v>Full diagnostic-safety branch validation</x:v>
      </x:c>
      <x:c r="D112" s="174" t="str">
        <x:v>79 unit files + Guardian + incident + build</x:v>
      </x:c>
      <x:c r="E112" s="174" t="str">
        <x:v>Vitest + Node + TypeScript + ESLint + Vite</x:v>
      </x:c>
      <x:c r="F112" s="174" t="str">
        <x:v>Yes</x:v>
      </x:c>
      <x:c r="G112" s="174" t="str">
        <x:v>T-009</x:v>
      </x:c>
      <x:c r="H112" s="174" t="str">
        <x:v>Passed</x:v>
      </x:c>
      <x:c r="I112" s="176" t="n">
        <x:v>46216.03611111111</x:v>
      </x:c>
      <x:c r="J112" s="174" t="str">
        <x:v>798/798; 48/48; 16/16; build passed</x:v>
      </x:c>
      <x:c r="K112" s="174" t="str">
        <x:v>Touched-file lint is clean and production build transformed 5,699 modules.</x:v>
      </x:c>
    </x:row>
    <x:row r="113" ht="94" customHeight="1">
      <x:c r="A113" s="174" t="str">
        <x:v>QA-108</x:v>
      </x:c>
      <x:c r="B113" s="174" t="str">
        <x:v>Infrastructure</x:v>
      </x:c>
      <x:c r="C113" s="174" t="str">
        <x:v>Exact diagnostic-safety PR gate</x:v>
      </x:c>
      <x:c r="D113" s="174" t="str">
        <x:v>GitHub runner</x:v>
      </x:c>
      <x:c r="E113" s="174" t="str">
        <x:v>GitHub Actions</x:v>
      </x:c>
      <x:c r="F113" s="174" t="str">
        <x:v>Yes</x:v>
      </x:c>
      <x:c r="G113" s="174" t="str">
        <x:v>T-011</x:v>
      </x:c>
      <x:c r="H113" s="174" t="str">
        <x:v>Blocked</x:v>
      </x:c>
      <x:c r="I113" s="176" t="n">
        <x:v>46216.03611111111</x:v>
      </x:c>
      <x:c r="J113" s="174" t="str">
        <x:v>Run 29216078831: zero steps</x:v>
      </x:c>
      <x:c r="K113" s="174" t="str">
        <x:v>Verified payment/spending refusal; no product command started.</x:v>
      </x:c>
    </x:row>
    <x:row r="114" ht="94" customHeight="1">
      <x:c r="A114" s="174" t="str">
        <x:v>QA-109</x:v>
      </x:c>
      <x:c r="B114" s="174" t="str">
        <x:v>Reliability</x:v>
      </x:c>
      <x:c r="C114" s="174" t="str">
        <x:v>Direct Resend idempotency coverage</x:v>
      </x:c>
      <x:c r="D114" s="174" t="str">
        <x:v>24 direct calls</x:v>
      </x:c>
      <x:c r="E114" s="174" t="str">
        <x:v>TypeScript AST + Vitest</x:v>
      </x:c>
      <x:c r="F114" s="174" t="str">
        <x:v>Yes</x:v>
      </x:c>
      <x:c r="G114" s="174" t="str">
        <x:v>T-018</x:v>
      </x:c>
      <x:c r="H114" s="174" t="str">
        <x:v>Passed</x:v>
      </x:c>
      <x:c r="I114" s="176" t="n">
        <x:v>46216.09027777778</x:v>
      </x:c>
      <x:c r="J114" s="174" t="str">
        <x:v>24/24 calls; 4/4 key tests</x:v>
      </x:c>
      <x:c r="K114" s="174" t="str">
        <x:v>Keys are stable, bounded, privacy-safe, event-isolated, and manual resend can intentionally advance.</x:v>
      </x:c>
    </x:row>
    <x:row r="115" ht="94" customHeight="1">
      <x:c r="A115" s="174" t="str">
        <x:v>QA-110</x:v>
      </x:c>
      <x:c r="B115" s="174" t="str">
        <x:v>Quality</x:v>
      </x:c>
      <x:c r="C115" s="174" t="str">
        <x:v>Frontend and full server TypeScript graph</x:v>
      </x:c>
      <x:c r="D115" s="174" t="str">
        <x:v>Vite + Hono server</x:v>
      </x:c>
      <x:c r="E115" s="174" t="str">
        <x:v>tsc project references</x:v>
      </x:c>
      <x:c r="F115" s="174" t="str">
        <x:v>Yes</x:v>
      </x:c>
      <x:c r="G115" s="174" t="str">
        <x:v>T-019</x:v>
      </x:c>
      <x:c r="H115" s="174" t="str">
        <x:v>Passed</x:v>
      </x:c>
      <x:c r="I115" s="176" t="n">
        <x:v>46216.09027777778</x:v>
      </x:c>
      <x:c r="J115" s="174" t="str">
        <x:v>Both compiler graphs exited 0</x:v>
      </x:c>
      <x:c r="K115" s="174" t="str">
        <x:v>Release workflow runs npm run typecheck before its later build/browser gates.</x:v>
      </x:c>
    </x:row>
    <x:row r="116" ht="94" customHeight="1">
      <x:c r="A116" s="174" t="str">
        <x:v>QA-111</x:v>
      </x:c>
      <x:c r="B116" s="174" t="str">
        <x:v>Regression</x:v>
      </x:c>
      <x:c r="C116" s="174" t="str">
        <x:v>Complete branch unit and policy validation</x:v>
      </x:c>
      <x:c r="D116" s="174" t="str">
        <x:v>82 unit files + Guardian + incident</x:v>
      </x:c>
      <x:c r="E116" s="174" t="str">
        <x:v>Vitest + Node</x:v>
      </x:c>
      <x:c r="F116" s="174" t="str">
        <x:v>Yes</x:v>
      </x:c>
      <x:c r="G116" s="174" t="str">
        <x:v>T-019</x:v>
      </x:c>
      <x:c r="H116" s="174" t="str">
        <x:v>Passed</x:v>
      </x:c>
      <x:c r="I116" s="176" t="n">
        <x:v>46216.09027777778</x:v>
      </x:c>
      <x:c r="J116" s="174" t="str">
        <x:v>808/808; 48/48; 16/16</x:v>
      </x:c>
      <x:c r="K116" s="174" t="str">
        <x:v>Focused final reliability and hook suite also passed 51/51.</x:v>
      </x:c>
    </x:row>
    <x:row r="117" ht="94" customHeight="1">
      <x:c r="A117" s="174" t="str">
        <x:v>QA-112</x:v>
      </x:c>
      <x:c r="B117" s="174" t="str">
        <x:v>Build</x:v>
      </x:c>
      <x:c r="C117" s="174" t="str">
        <x:v>Production frontend build</x:v>
      </x:c>
      <x:c r="D117" s="174" t="str">
        <x:v>5,699 modules</x:v>
      </x:c>
      <x:c r="E117" s="174" t="str">
        <x:v>Vite</x:v>
      </x:c>
      <x:c r="F117" s="174" t="str">
        <x:v>Yes</x:v>
      </x:c>
      <x:c r="G117" s="174" t="str">
        <x:v>T-019</x:v>
      </x:c>
      <x:c r="H117" s="174" t="str">
        <x:v>Passed</x:v>
      </x:c>
      <x:c r="I117" s="176" t="n">
        <x:v>46216.09027777778</x:v>
      </x:c>
      <x:c r="J117" s="174" t="str">
        <x:v>Build exited 0</x:v>
      </x:c>
      <x:c r="K117" s="174" t="str">
        <x:v>Bundle/dependency warnings are recorded under G-022 rather than hidden.</x:v>
      </x:c>
    </x:row>
    <x:row r="118" ht="94" customHeight="1">
      <x:c r="A118" s="174" t="str">
        <x:v>QA-113</x:v>
      </x:c>
      <x:c r="B118" s="174" t="str">
        <x:v>Browser</x:v>
      </x:c>
      <x:c r="C118" s="174" t="str">
        <x:v>Dashboard responsive matrix</x:v>
      </x:c>
      <x:c r="D118" s="174" t="str">
        <x:v>4 sizes</x:v>
      </x:c>
      <x:c r="E118" s="174" t="str">
        <x:v>In-app browser + Playwright</x:v>
      </x:c>
      <x:c r="F118" s="174" t="str">
        <x:v>Yes</x:v>
      </x:c>
      <x:c r="G118" s="174" t="str">
        <x:v>T-020</x:v>
      </x:c>
      <x:c r="H118" s="174" t="str">
        <x:v>Passed</x:v>
      </x:c>
      <x:c r="I118" s="176" t="n">
        <x:v>46216.09027777778</x:v>
      </x:c>
      <x:c r="J118" s="174" t="str">
        <x:v>4/4 sizes</x:v>
      </x:c>
      <x:c r="K118" s="174" t="str">
        <x:v>1440x900, 1280x800, 1024x767, and 767x1024 had no overflow, alerts, missing heading, or hidden main.</x:v>
      </x:c>
    </x:row>
    <x:row r="119" ht="94" customHeight="1">
      <x:c r="A119" s="174" t="str">
        <x:v>QA-114</x:v>
      </x:c>
      <x:c r="B119" s="174" t="str">
        <x:v>Browser</x:v>
      </x:c>
      <x:c r="C119" s="174" t="str">
        <x:v>Service notification responsive preview</x:v>
      </x:c>
      <x:c r="D119" s="174" t="str">
        <x:v>3 sizes</x:v>
      </x:c>
      <x:c r="E119" s="174" t="str">
        <x:v>In-app browser + Playwright</x:v>
      </x:c>
      <x:c r="F119" s="174" t="str">
        <x:v>Yes</x:v>
      </x:c>
      <x:c r="G119" s="174" t="str">
        <x:v>T-020</x:v>
      </x:c>
      <x:c r="H119" s="174" t="str">
        <x:v>Passed</x:v>
      </x:c>
      <x:c r="I119" s="176" t="n">
        <x:v>46216.09027777778</x:v>
      </x:c>
      <x:c r="J119" s="174" t="str">
        <x:v>3/3 sizes + mobile handoff</x:v>
      </x:c>
      <x:c r="K119" s="174" t="str">
        <x:v>Preview remained visible without overflow and job mode reached the field app.</x:v>
      </x:c>
    </x:row>
    <x:row r="120" ht="94" customHeight="1">
      <x:c r="A120" s="174" t="str">
        <x:v>QA-115</x:v>
      </x:c>
      <x:c r="B120" s="174" t="str">
        <x:v>Browser</x:v>
      </x:c>
      <x:c r="C120" s="174" t="str">
        <x:v>Billing, SMS Contacts, and Documents</x:v>
      </x:c>
      <x:c r="D120" s="174" t="str">
        <x:v>5 route-size checks</x:v>
      </x:c>
      <x:c r="E120" s="174" t="str">
        <x:v>In-app browser + Playwright</x:v>
      </x:c>
      <x:c r="F120" s="174" t="str">
        <x:v>Yes</x:v>
      </x:c>
      <x:c r="G120" s="174" t="str">
        <x:v>T-020</x:v>
      </x:c>
      <x:c r="H120" s="174" t="str">
        <x:v>Passed</x:v>
      </x:c>
      <x:c r="I120" s="176" t="n">
        <x:v>46216.09027777778</x:v>
      </x:c>
      <x:c r="J120" s="174" t="str">
        <x:v>5/5 checks; 0 console errors</x:v>
      </x:c>
      <x:c r="K120" s="174" t="str">
        <x:v>Primary headings and main regions remained visible with no horizontal overflow.</x:v>
      </x:c>
    </x:row>
    <x:row r="121" ht="94" customHeight="1">
      <x:c r="A121" s="174" t="str">
        <x:v>QA-116</x:v>
      </x:c>
      <x:c r="B121" s="174" t="str">
        <x:v>Quality</x:v>
      </x:c>
      <x:c r="C121" s="174" t="str">
        <x:v>Repository-wide ESLint baseline</x:v>
      </x:c>
      <x:c r="D121" s="174" t="str">
        <x:v>Whole repository</x:v>
      </x:c>
      <x:c r="E121" s="174" t="str">
        <x:v>ESLint</x:v>
      </x:c>
      <x:c r="F121" s="174" t="str">
        <x:v>Yes</x:v>
      </x:c>
      <x:c r="G121" s="174" t="str">
        <x:v>T-021</x:v>
      </x:c>
      <x:c r="H121" s="174" t="str">
        <x:v>Failed</x:v>
      </x:c>
      <x:c r="I121" s="176" t="n">
        <x:v>46216.09027777778</x:v>
      </x:c>
      <x:c r="J121" s="174" t="str">
        <x:v>617 findings: 571 errors, 46 warnings</x:v>
      </x:c>
      <x:c r="K121" s="174" t="str">
        <x:v>Mostly legacy explicit-any debt; touched high-signal hook and side-effect findings were repaired and rechecked clean.</x:v>
      </x:c>
    </x:row>
    <x:row r="122" ht="94" customHeight="1">
      <x:c r="A122" s="174" t="str">
        <x:v>QA-117</x:v>
      </x:c>
      <x:c r="B122" s="174" t="str">
        <x:v>Infrastructure</x:v>
      </x:c>
      <x:c r="C122" s="174" t="str">
        <x:v>Exact full-stack PR release gate</x:v>
      </x:c>
      <x:c r="D122" s="174" t="str">
        <x:v>GitHub runner</x:v>
      </x:c>
      <x:c r="E122" s="174" t="str">
        <x:v>GitHub Actions</x:v>
      </x:c>
      <x:c r="F122" s="174" t="str">
        <x:v>Yes</x:v>
      </x:c>
      <x:c r="G122" s="174" t="str">
        <x:v>T-011</x:v>
      </x:c>
      <x:c r="H122" s="174" t="str">
        <x:v>Blocked</x:v>
      </x:c>
      <x:c r="I122" s="176" t="n">
        <x:v>46216.095138888886</x:v>
      </x:c>
      <x:c r="J122" s="174" t="str">
        <x:v>Run 29219180313: zero steps</x:v>
      </x:c>
      <x:c r="K122" s="174" t="str">
        <x:v>Verified account payment/spending refusal; no repository command started.</x:v>
      </x:c>
    </x:row>
    <x:row r="123" ht="100" customHeight="1">
      <x:c r="A123" s="174" t="str">
        <x:v>QA-118</x:v>
      </x:c>
      <x:c r="B123" s="174" t="str">
        <x:v>CLI</x:v>
      </x:c>
      <x:c r="C123" s="174" t="str">
        <x:v>Unified command delegation and safety</x:v>
      </x:c>
      <x:c r="D123" s="174" t="str">
        <x:v>6 commands + help</x:v>
      </x:c>
      <x:c r="E123" s="174" t="str">
        <x:v>Node test</x:v>
      </x:c>
      <x:c r="F123" s="174" t="str">
        <x:v>Yes</x:v>
      </x:c>
      <x:c r="G123" s="174" t="str">
        <x:v>T-022</x:v>
      </x:c>
      <x:c r="H123" s="174" t="str">
        <x:v>Passed</x:v>
      </x:c>
      <x:c r="I123" s="176" t="n">
        <x:v>46216.149305555555</x:v>
      </x:c>
      <x:c r="J123" s="174" t="str">
        <x:v>4 focused CLI/dashboard tests; 10/10 full</x:v>
      </x:c>
      <x:c r="K123" s="174" t="str">
        <x:v>Help, guarded list delegation, secret redaction, and replay-domain allowlisting passed.</x:v>
      </x:c>
    </x:row>
    <x:row r="124" ht="100" customHeight="1">
      <x:c r="A124" s="174" t="str">
        <x:v>QA-119</x:v>
      </x:c>
      <x:c r="B124" s="174" t="str">
        <x:v>CLI</x:v>
      </x:c>
      <x:c r="C124" s="174" t="str">
        <x:v>Guardian selection through unified command</x:v>
      </x:c>
      <x:c r="D124" s="174" t="str">
        <x:v>Tier 0 + tier 1</x:v>
      </x:c>
      <x:c r="E124" s="174" t="str">
        <x:v>Node CLI</x:v>
      </x:c>
      <x:c r="F124" s="174" t="str">
        <x:v>Yes</x:v>
      </x:c>
      <x:c r="G124" s="174" t="str">
        <x:v>T-022</x:v>
      </x:c>
      <x:c r="H124" s="174" t="str">
        <x:v>Passed</x:v>
      </x:c>
      <x:c r="I124" s="176" t="n">
        <x:v>46216.149305555555</x:v>
      </x:c>
      <x:c r="J124" s="174" t="str">
        <x:v>4 tier-0 entries; 12 tier-1 entries</x:v>
      </x:c>
      <x:c r="K124" s="174" t="str">
        <x:v>Both list and dry-run returned valid registry-backed JSON without opening Browserbase.</x:v>
      </x:c>
    </x:row>
    <x:row r="125" ht="100" customHeight="1">
      <x:c r="A125" s="174" t="str">
        <x:v>QA-120</x:v>
      </x:c>
      <x:c r="B125" s="174" t="str">
        <x:v>Dashboard</x:v>
      </x:c>
      <x:c r="C125" s="174" t="str">
        <x:v>Dashboard API, method, path, and package contracts</x:v>
      </x:c>
      <x:c r="D125" s="174" t="str">
        <x:v>Local server + npm package</x:v>
      </x:c>
      <x:c r="E125" s="174" t="str">
        <x:v>curl + npm pack</x:v>
      </x:c>
      <x:c r="F125" s="174" t="str">
        <x:v>Yes</x:v>
      </x:c>
      <x:c r="G125" s="174" t="str">
        <x:v>T-022</x:v>
      </x:c>
      <x:c r="H125" s="174" t="str">
        <x:v>Passed</x:v>
      </x:c>
      <x:c r="I125" s="176" t="n">
        <x:v>46216.149305555555</x:v>
      </x:c>
      <x:c r="J125" s="174" t="str">
        <x:v>200 model; 405 POST; 404 unknown; 38 package files</x:v>
      </x:c>
      <x:c r="K125" s="174" t="str">
        <x:v>The package includes the executable, dashboard assets, model, and server.</x:v>
      </x:c>
    </x:row>
    <x:row r="126" ht="100" customHeight="1">
      <x:c r="A126" s="174" t="str">
        <x:v>QA-121</x:v>
      </x:c>
      <x:c r="B126" s="174" t="str">
        <x:v>Browser</x:v>
      </x:c>
      <x:c r="C126" s="174" t="str">
        <x:v>Dashboard responsive and refresh behavior</x:v>
      </x:c>
      <x:c r="D126" s="174" t="str">
        <x:v>Desktop + mobile</x:v>
      </x:c>
      <x:c r="E126" s="174" t="str">
        <x:v>In-app browser + Playwright</x:v>
      </x:c>
      <x:c r="F126" s="174" t="str">
        <x:v>Yes</x:v>
      </x:c>
      <x:c r="G126" s="174" t="str">
        <x:v>T-022</x:v>
      </x:c>
      <x:c r="H126" s="174" t="str">
        <x:v>Passed</x:v>
      </x:c>
      <x:c r="I126" s="176" t="n">
        <x:v>46216.149305555555</x:v>
      </x:c>
      <x:c r="J126" s="174" t="str">
        <x:v>2/2 sizes; refresh changed timestamp; 0 console errors</x:v>
      </x:c>
      <x:c r="K126" s="174" t="str">
        <x:v>1440x900 and 390x844 showed readiness, blockers, six metrics, five registry journeys, no horizontal overflow, and a working refresh.</x:v>
      </x:c>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1fea4dbefc73429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row r="26" ht="150" customHeight="1">
      <x:c r="A26" s="174" t="str">
        <x:v>G-020</x:v>
      </x:c>
      <x:c r="B26" s="174" t="str">
        <x:v>T-007</x:v>
      </x:c>
      <x:c r="C26" s="174" t="str">
        <x:v>Provider Diagnostic Safety</x:v>
      </x:c>
      <x:c r="D26" s="174" t="str">
        <x:v>A staging-only 28-email preview was reachable in production, and the real $1 Stripe test-send lacked server confirmation and provider idempotency.</x:v>
      </x:c>
      <x:c r="E26" s="174" t="str">
        <x:v>An authenticated mistake, retry, or double-click could schedule bulk proof email or create duplicate Stripe test customers, invoices, items, finalizations, and sends.</x:v>
      </x:c>
      <x:c r="F26" s="174" t="str">
        <x:v>Critical</x:v>
      </x:c>
      <x:c r="G26" s="174" t="str">
        <x:v>Deploy 36e7ab7, prove the preview returns 404 in production, and verify repeated confirmed test-send requests return one Stripe operation set.</x:v>
      </x:c>
      <x:c r="H26" s="174" t="str">
        <x:v>Open</x:v>
      </x:c>
      <x:c r="I26" s="174" t="str">
        <x:v>T-016</x:v>
      </x:c>
      <x:c r="J26" s="174" t="str">
        <x:v>Trevor + Codex</x:v>
      </x:c>
      <x:c r="K26" s="174" t="str">
        <x:v>8/8 focused safeguards; 798/798 full unit; type/lint/build green; no live provider request used for verification.</x:v>
      </x:c>
      <x:c r="L26" s="174" t="str">
        <x:v>Branch prevention is ready. Exact production provider proof remains intentionally pending deployment and an approved test recipient.</x:v>
      </x:c>
    </x:row>
    <x:row r="27" ht="158" customHeight="1">
      <x:c r="A27" s="174" t="str">
        <x:v>G-021</x:v>
      </x:c>
      <x:c r="B27" s="174" t="str">
        <x:v>T-019</x:v>
      </x:c>
      <x:c r="C27" s="174" t="str">
        <x:v>Code Quality</x:v>
      </x:c>
      <x:c r="D27" s="174" t="str">
        <x:v>Repository-wide ESLint currently reports 617 findings: 571 errors and 46 warnings, dominated by legacy explicit-any use across application, test, Supabase, and scratch paths.</x:v>
      </x:c>
      <x:c r="E27" s="174" t="str">
        <x:v>The signal-to-noise ratio can hide newly introduced lifecycle or correctness defects and prevents lint from serving as a complete release gate.</x:v>
      </x:c>
      <x:c r="F27" s="174" t="str">
        <x:v>High</x:v>
      </x:c>
      <x:c r="G27" s="174" t="str">
        <x:v>Burn debt down by bounded file family, preserve rules, add regression contracts for behavior changes, and require no new violations in every touched path.</x:v>
      </x:c>
      <x:c r="H27" s="174" t="str">
        <x:v>Open</x:v>
      </x:c>
      <x:c r="I27" s="174" t="str">
        <x:v>T-021</x:v>
      </x:c>
      <x:c r="J27" s="174" t="str">
        <x:v>Trevor + Codex</x:v>
      </x:c>
      <x:c r="K27" s="174" t="str">
        <x:v>Full npm run lint baseline; touched hook and side-effect findings are clean.</x:v>
      </x:c>
      <x:c r="L27" s="174" t="str">
        <x:v>Do not mass-disable rules or claim the full lint gate is green until the baseline reaches zero.</x:v>
      </x:c>
    </x:row>
    <x:row r="28" ht="158" customHeight="1">
      <x:c r="A28" s="174" t="str">
        <x:v>G-022</x:v>
      </x:c>
      <x:c r="B28" s="174" t="str">
        <x:v>T-019</x:v>
      </x:c>
      <x:c r="C28" s="174" t="str">
        <x:v>Performance / Maintenance</x:v>
      </x:c>
      <x:c r="D28" s="174" t="str">
        <x:v>The production build succeeds but reports stale caniuse-lite data, a Bluebird eval warning, a dual static/dynamic service-area import, and chunks above 500 kB including a largest chunk around 722 kB.</x:v>
      </x:c>
      <x:c r="E28" s="174" t="str">
        <x:v>Large bundles can slow first use on weaker connections, while stale dependency metadata and warnings make genuine build regressions harder to spot.</x:v>
      </x:c>
      <x:c r="F28" s="174" t="str">
        <x:v>Medium</x:v>
      </x:c>
      <x:c r="G28" s="174" t="str">
        <x:v>Refresh browser data in a controlled dependency update, measure route-level loading, split justified large chunks, and define an explicit bundle-warning budget.</x:v>
      </x:c>
      <x:c r="H28" s="174" t="str">
        <x:v>Open</x:v>
      </x:c>
      <x:c r="I28" s="174" t="str">
        <x:v>T-021</x:v>
      </x:c>
      <x:c r="J28" s="174" t="str">
        <x:v>Trevor + Codex</x:v>
      </x:c>
      <x:c r="K28" s="174" t="str">
        <x:v>Successful Vite production build; 5,699 modules transformed.</x:v>
      </x:c>
      <x:c r="L28" s="174" t="str">
        <x:v>Prioritize measured user impact and avoid speculative chunk splitting.</x:v>
      </x:c>
    </x:row>
    <x:row r="29" ht="164" customHeight="1">
      <x:c r="A29" s="174" t="str">
        <x:v>G-023</x:v>
      </x:c>
      <x:c r="B29" s="174" t="str">
        <x:v>T-022</x:v>
      </x:c>
      <x:c r="C29" s="174" t="str">
        <x:v>Command Center Platform</x:v>
      </x:c>
      <x:c r="D29" s="174" t="str">
        <x:v>The new dashboard reads the latest local artifact files and has no durable run database, hosted owner authentication, historical incident timeline, cost history, or remote retention service.</x:v>
      </x:c>
      <x:c r="E29" s="174" t="str">
        <x:v>A reviewer can inspect the current machine's evidence clearly, but cannot yet compare releases over time or safely share an authenticated hosted view with the team.</x:v>
      </x:c>
      <x:c r="F29" s="174" t="str">
        <x:v>High</x:v>
      </x:c>
      <x:c r="G29" s="174" t="str">
        <x:v>Keep the current dashboard read-only, design the durable schema and owner-auth boundary, import normalized artifacts, define retention/redaction, then add historical and trend views.</x:v>
      </x:c>
      <x:c r="H29" s="174" t="str">
        <x:v>Open</x:v>
      </x:c>
      <x:c r="I29" s="174" t="str">
        <x:v>T-023</x:v>
      </x:c>
      <x:c r="J29" s="174" t="str">
        <x:v>Trevor + Codex</x:v>
      </x:c>
      <x:c r="K29" s="174" t="str">
        <x:v>Responsive local dashboard and normalized artifact API published at f477538.</x:v>
      </x:c>
      <x:c r="L29" s="174" t="str">
        <x:v>This is a deliberate phase boundary, not a missing local feature; hosting decisions must precede remote access.</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13fb3d71db7244e9"/>
  </x:tableParts>
</x:worksheet>
</file>