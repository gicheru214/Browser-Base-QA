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2edc234ce94b8d" /></Relationships>
</file>

<file path=xl/workbook.xml><?xml version="1.0" encoding="utf-8"?>
<x:workbook xmlns:x="http://schemas.openxmlformats.org/spreadsheetml/2006/main">
  <x:sheets>
    <x:sheet xmlns:r="http://schemas.openxmlformats.org/officeDocument/2006/relationships" name="Overview" sheetId="1" r:id="R45979e7234d94ce3"/>
    <x:sheet xmlns:r="http://schemas.openxmlformats.org/officeDocument/2006/relationships" name="Task Tracker" sheetId="2" r:id="R1a226ac2cb334581"/>
    <x:sheet xmlns:r="http://schemas.openxmlformats.org/officeDocument/2006/relationships" name="Activity Log" sheetId="3" r:id="R57630a2693284c40"/>
    <x:sheet xmlns:r="http://schemas.openxmlformats.org/officeDocument/2006/relationships" name="QA Matrix" sheetId="4" r:id="Rcd150dcf4579474c"/>
    <x:sheet xmlns:r="http://schemas.openxmlformats.org/officeDocument/2006/relationships" name="Product Gaps" sheetId="5" r:id="Rf5c8c7788a3e40d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86f4352ff24e2b" /><Relationship Type="http://schemas.openxmlformats.org/officeDocument/2006/relationships/theme" Target="/xl/theme/theme1.xml" Id="Re0b43e97db9e44a9" /><Relationship Type="http://schemas.openxmlformats.org/officeDocument/2006/relationships/sharedStrings" Target="/xl/sharedStrings.xml" Id="R898ed023687546d1" /><Relationship Type="http://schemas.openxmlformats.org/officeDocument/2006/relationships/worksheet" Target="/xl/worksheets/sheet1.xml" Id="R45979e7234d94ce3" /><Relationship Type="http://schemas.openxmlformats.org/officeDocument/2006/relationships/worksheet" Target="/xl/worksheets/sheet2.xml" Id="R1a226ac2cb334581" /><Relationship Type="http://schemas.openxmlformats.org/officeDocument/2006/relationships/worksheet" Target="/xl/worksheets/sheet3.xml" Id="R57630a2693284c40" /><Relationship Type="http://schemas.openxmlformats.org/officeDocument/2006/relationships/worksheet" Target="/xl/worksheets/sheet4.xml" Id="Rcd150dcf4579474c" /><Relationship Type="http://schemas.openxmlformats.org/officeDocument/2006/relationships/worksheet" Target="/xl/worksheets/sheet5.xml" Id="Rf5c8c7788a3e40d3" /></Relationships>
</file>

<file path=xl/tables/table1.xml><?xml version="1.0" encoding="utf-8"?>
<x:table xmlns:x="http://schemas.openxmlformats.org/spreadsheetml/2006/main" id="1" name="TaskTrackerTable" displayName="TaskTrackerTable" ref="A5:Q22"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09"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99"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3"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dae778f71414c9c" /></Relationships>
</file>

<file path=xl/worksheets/_rels/sheet3.xml.rels>&#65279;<?xml version="1.0" encoding="utf-8"?><Relationships xmlns="http://schemas.openxmlformats.org/package/2006/relationships"><Relationship Type="http://schemas.openxmlformats.org/officeDocument/2006/relationships/table" Target="/xl/tables/table2.xml" Id="R45bd41a850414733" /></Relationships>
</file>

<file path=xl/worksheets/_rels/sheet4.xml.rels>&#65279;<?xml version="1.0" encoding="utf-8"?><Relationships xmlns="http://schemas.openxmlformats.org/package/2006/relationships"><Relationship Type="http://schemas.openxmlformats.org/officeDocument/2006/relationships/table" Target="/xl/tables/table3.xml" Id="R4696bc467ac54a7e" /></Relationships>
</file>

<file path=xl/worksheets/_rels/sheet5.xml.rels>&#65279;<?xml version="1.0" encoding="utf-8"?><Relationships xmlns="http://schemas.openxmlformats.org/package/2006/relationships"><Relationship Type="http://schemas.openxmlformats.org/officeDocument/2006/relationships/table" Target="/xl/tables/table4.xml" Id="Rbcf5eb98b1ff46cb"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17</x:v>
      </x:c>
      <x:c r="B5" s="135"/>
      <x:c r="C5" s="136" t="n">
        <x:f>COUNTIF('Task Tracker'!$E$6:$E$200,"Done")</x:f>
        <x:v>9</x:v>
      </x:c>
      <x:c r="D5" s="137"/>
      <x:c r="E5" s="138" t="n">
        <x:f>COUNTIF('Task Tracker'!$E$6:$E$200,"In Progress")</x:f>
        <x:v>3</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94</x:v>
      </x:c>
      <x:c r="B9" s="135"/>
      <x:c r="C9" s="136" t="n">
        <x:f>COUNTIF('QA Matrix'!$H$6:$H$200,"Passed")</x:f>
        <x:v>64</x:v>
      </x:c>
      <x:c r="D9" s="137"/>
      <x:c r="E9" s="140" t="n">
        <x:f>COUNTIF('QA Matrix'!$H$6:$H$200,"Failed")</x:f>
        <x:v>13</x:v>
      </x:c>
      <x:c r="F9" s="141"/>
      <x:c r="G9" s="138" t="n">
        <x:f>COUNTIFS('Product Gaps'!$A$6:$A$200,"&lt;&gt;",'Product Gaps'!$H$6:$H$200,"&lt;&gt;Closed",'Product Gaps'!$H$6:$H$200,"&lt;&gt;Resolved",'Product Gaps'!$H$6:$H$200,"&lt;&gt;Mitigated")</x:f>
        <x:v>13</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54" customHeight="1">
      <x:c r="A17" s="120" t="str">
        <x:v>Current</x:v>
      </x:c>
      <x:c r="B17" s="121" t="str">
        <x:v>Live APIs remain 31/32; operational isolation is 200/200; read-only audit found 3 historical non-QA chemical product/company mismatches in one pair.</x:v>
      </x:c>
      <x:c r="C17" s="121" t="str">
        <x:v>Repositories</x:v>
      </x:c>
      <x:c r="D17" s="121" t="str">
        <x:v>PestFlow PR #89 @ e4ea0a4; Browser-Base-QA @ 4b7351b shared with yawbtng; complete 546-line PRD synchronized.</x:v>
      </x:c>
      <x:c r="E17" s="121" t="str">
        <x:v>Activation</x:v>
      </x:c>
      <x:c r="F17" s="121" t="str">
        <x:v>Restore Actions; deploy e4ea0a4; prove six schema constraints, exact-SHA 32/32 APIs, 81/81 routes, and operational 404/404.</x:v>
      </x:c>
      <x:c r="G17" s="121" t="str">
        <x:v>Review</x:v>
      </x:c>
      <x:c r="H17" s="122" t="str">
        <x:v>No production record changed. T-017 requires authorized review before historical repair; run 29214102599 was zero-step billing blocked.</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e4ea0a4 + Browser-Base-QA 4b7351b; PR #89</x:v>
      </x:c>
      <x:c r="O8" s="113"/>
      <x:c r="P8" s="113" t="str">
        <x:v>Database guardrails, audit policy, schema oracle, and complete 546-line PRD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31/32 live APIs; operational writes fail isolation 200/200; historical audit finds 3 product mismatches</x:v>
      </x:c>
      <x:c r="N12" s="166" t="str">
        <x:v>e4ea0a4; PR #89</x:v>
      </x:c>
      <x:c r="O12" s="166" t="str">
        <x:v>Requires reviewed deploy, six-constraint schema proof, production 404/404, and restored Actions capacity.</x:v>
      </x:c>
      <x:c r="P12" s="166" t="str">
        <x:v>Branch prevention is route plus database; current production remains uncertified and the three historical records remain unchanged.</x:v>
      </x:c>
      <x:c r="Q12" s="167" t="n">
        <x:v>46215.99652777778</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e4ea0a4; PR #89</x:v>
      </x:c>
      <x:c r="O14" s="166"/>
      <x:c r="P14" s="166" t="str">
        <x:v>Full branch gate passed; exact-head cloud run 29214102599 was zero-step billing blocked; production mismatch evidence remains red.</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4b7351b; PR #89 @ e4ea0a4</x:v>
      </x:c>
      <x:c r="N16" s="166" t="str">
        <x:v>Standalone API executor and complete PRD are current; promotion wiring remains pending.</x:v>
      </x:c>
      <x:c r="O16" s="166" t="str">
        <x:v>Needs Browserbase secrets/context, deploy ownership, and restored GitHub Actions capacity.</x:v>
      </x:c>
      <x:c r="P16" s="166" t="str">
        <x:v>Deploy reviewed head, require six schema constraints, then 32/32 APIs, 81/81 routes, and operational 404/404 on the exact SHA.</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DB guardrails ready; PR #89 @ e4ea0a4</x:v>
      </x:c>
      <x:c r="N21" s="170" t="str">
        <x:v>e4ea0a4; PR #89</x:v>
      </x:c>
      <x:c r="O21" s="170" t="str">
        <x:v>Needs merge/deploy authority, exact schema identity, production 404/404, and restored Actions capacity.</x:v>
      </x:c>
      <x:c r="P21" s="170" t="str">
        <x:v>Full branch proof is green; current production and historical mismatch inventory are deliberately not called fixed.</x:v>
      </x:c>
      <x:c r="Q21" s="171" t="n">
        <x:v>46215.99652777778</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e4ea0a4; G-017</x:v>
      </x:c>
      <x:c r="O22" s="170" t="str">
        <x:v>Requires authorized business-record review and explicit production repair approval.</x:v>
      </x:c>
      <x:c r="P22" s="170" t="str">
        <x:v>The prevention fix is ready, but the correct historical product mapping cannot be safely inferred from aggregate data.</x:v>
      </x:c>
      <x:c r="Q22" s="171" t="n">
        <x:v>46215.99652777778</x:v>
      </x:c>
    </x:row>
    <x:row r="23">
      <x:c r="A23" s="133"/>
      <x:c r="B23" s="133"/>
      <x:c r="C23" s="133"/>
      <x:c r="D23" s="133"/>
      <x:c r="E23" s="133"/>
      <x:c r="F23" s="133"/>
      <x:c r="G23" s="133"/>
      <x:c r="H23" s="133"/>
      <x:c r="I23" s="133"/>
      <x:c r="J23" s="133"/>
      <x:c r="K23" s="133"/>
      <x:c r="L23" s="133"/>
      <x:c r="M23" s="133"/>
      <x:c r="N23" s="133"/>
      <x:c r="O23" s="133"/>
      <x:c r="P23" s="133"/>
      <x:c r="Q23" s="165"/>
    </x:row>
    <x:row r="24">
      <x:c r="A24" s="133"/>
      <x:c r="B24" s="133"/>
      <x:c r="C24" s="133"/>
      <x:c r="D24" s="133"/>
      <x:c r="E24" s="133"/>
      <x:c r="F24" s="133"/>
      <x:c r="G24" s="133"/>
      <x:c r="H24" s="133"/>
      <x:c r="I24" s="133"/>
      <x:c r="J24" s="133"/>
      <x:c r="K24" s="133"/>
      <x:c r="L24" s="133"/>
      <x:c r="M24" s="133"/>
      <x:c r="N24" s="133"/>
      <x:c r="O24" s="133"/>
      <x:c r="P24" s="133"/>
      <x:c r="Q24" s="165"/>
    </x:row>
    <x:row r="25">
      <x:c r="A25" s="133"/>
      <x:c r="B25" s="133"/>
      <x:c r="C25" s="133"/>
      <x:c r="D25" s="133"/>
      <x:c r="E25" s="133"/>
      <x:c r="F25" s="133"/>
      <x:c r="G25" s="133"/>
      <x:c r="H25" s="133"/>
      <x:c r="I25" s="133"/>
      <x:c r="J25" s="133"/>
      <x:c r="K25" s="133"/>
      <x:c r="L25" s="133"/>
      <x:c r="M25" s="133"/>
      <x:c r="N25" s="133"/>
      <x:c r="O25" s="133"/>
      <x:c r="P25" s="133"/>
      <x:c r="Q25" s="165"/>
    </x:row>
    <x:row r="26">
      <x:c r="A26" s="133"/>
      <x:c r="B26" s="133"/>
      <x:c r="C26" s="133"/>
      <x:c r="D26" s="133"/>
      <x:c r="E26" s="133"/>
      <x:c r="F26" s="133"/>
      <x:c r="G26" s="133"/>
      <x:c r="H26" s="133"/>
      <x:c r="I26" s="133"/>
      <x:c r="J26" s="133"/>
      <x:c r="K26" s="133"/>
      <x:c r="L26" s="133"/>
      <x:c r="M26" s="133"/>
      <x:c r="N26" s="133"/>
      <x:c r="O26" s="133"/>
      <x:c r="P26" s="133"/>
      <x:c r="Q26" s="165"/>
    </x:row>
    <x:row r="27">
      <x:c r="A27" s="133"/>
      <x:c r="B27" s="133"/>
      <x:c r="C27" s="133"/>
      <x:c r="D27" s="133"/>
      <x:c r="E27" s="133"/>
      <x:c r="F27" s="133"/>
      <x:c r="G27" s="133"/>
      <x:c r="H27" s="133"/>
      <x:c r="I27" s="133"/>
      <x:c r="J27" s="133"/>
      <x:c r="K27" s="133"/>
      <x:c r="L27" s="133"/>
      <x:c r="M27" s="133"/>
      <x:c r="N27" s="133"/>
      <x:c r="O27" s="133"/>
      <x:c r="P27" s="133"/>
      <x:c r="Q27" s="165"/>
    </x:row>
    <x:row r="28">
      <x:c r="A28" s="133"/>
      <x:c r="B28" s="133"/>
      <x:c r="C28" s="133"/>
      <x:c r="D28" s="133"/>
      <x:c r="E28" s="133"/>
      <x:c r="F28" s="133"/>
      <x:c r="G28" s="133"/>
      <x:c r="H28" s="133"/>
      <x:c r="I28" s="133"/>
      <x:c r="J28" s="133"/>
      <x:c r="K28" s="133"/>
      <x:c r="L28" s="133"/>
      <x:c r="M28" s="133"/>
      <x:c r="N28" s="133"/>
      <x:c r="O28" s="133"/>
      <x:c r="P28" s="133"/>
      <x:c r="Q28" s="165"/>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8dae778f71414c9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x:c r="B110" s="164"/>
    </x:row>
    <x:row r="111">
      <x:c r="B111" s="164"/>
    </x:row>
    <x:row r="112">
      <x:c r="B112" s="164"/>
    </x:row>
    <x:row r="113">
      <x:c r="B113" s="164"/>
    </x:row>
    <x:row r="114">
      <x:c r="B114" s="164"/>
    </x:row>
    <x:row r="115">
      <x:c r="B115" s="164"/>
    </x:row>
    <x:row r="116">
      <x:c r="B116" s="164"/>
    </x:row>
    <x:row r="117">
      <x:c r="B117" s="164"/>
    </x:row>
    <x:row r="118">
      <x:c r="B118" s="164"/>
    </x:row>
    <x:row r="119">
      <x:c r="B119" s="164"/>
    </x:row>
    <x:row r="120">
      <x:c r="B120" s="164"/>
    </x:row>
    <x:row r="121">
      <x:c r="B121" s="164"/>
    </x:row>
    <x:row r="122">
      <x:c r="B122" s="164"/>
    </x:row>
    <x:row r="123">
      <x:c r="B123" s="164"/>
    </x:row>
    <x:row r="124">
      <x:c r="B124" s="164"/>
    </x:row>
    <x:row r="125">
      <x:c r="B125" s="164"/>
    </x:row>
    <x:row r="126">
      <x:c r="B126" s="164"/>
    </x:row>
    <x:row r="127">
      <x:c r="B127" s="164"/>
    </x:row>
    <x:row r="128">
      <x:c r="B128" s="164"/>
    </x:row>
    <x:row r="129">
      <x:c r="B129" s="164"/>
    </x:row>
    <x:row r="130">
      <x:c r="B130" s="164"/>
    </x:row>
    <x:row r="131">
      <x:c r="B131" s="164"/>
    </x:row>
    <x:row r="132">
      <x:c r="B132" s="164"/>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45bd41a85041473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x:c r="A100" s="133"/>
      <x:c r="B100" s="133"/>
      <x:c r="C100" s="133"/>
      <x:c r="D100" s="133"/>
      <x:c r="E100" s="133"/>
      <x:c r="F100" s="133"/>
      <x:c r="G100" s="133"/>
      <x:c r="H100" s="133"/>
      <x:c r="I100" s="165"/>
      <x:c r="J100" s="133"/>
      <x:c r="K100" s="133"/>
    </x:row>
    <x:row r="101">
      <x:c r="A101" s="133"/>
      <x:c r="B101" s="133"/>
      <x:c r="C101" s="133"/>
      <x:c r="D101" s="133"/>
      <x:c r="E101" s="133"/>
      <x:c r="F101" s="133"/>
      <x:c r="G101" s="133"/>
      <x:c r="H101" s="133"/>
      <x:c r="I101" s="165"/>
      <x:c r="J101" s="133"/>
      <x:c r="K101" s="133"/>
    </x:row>
    <x:row r="102">
      <x:c r="A102" s="133"/>
      <x:c r="B102" s="133"/>
      <x:c r="C102" s="133"/>
      <x:c r="D102" s="133"/>
      <x:c r="E102" s="133"/>
      <x:c r="F102" s="133"/>
      <x:c r="G102" s="133"/>
      <x:c r="H102" s="133"/>
      <x:c r="I102" s="165"/>
      <x:c r="J102" s="133"/>
      <x:c r="K102" s="133"/>
    </x:row>
    <x:row r="103">
      <x:c r="A103" s="133"/>
      <x:c r="B103" s="133"/>
      <x:c r="C103" s="133"/>
      <x:c r="D103" s="133"/>
      <x:c r="E103" s="133"/>
      <x:c r="F103" s="133"/>
      <x:c r="G103" s="133"/>
      <x:c r="H103" s="133"/>
      <x:c r="I103" s="165"/>
      <x:c r="J103" s="133"/>
      <x:c r="K103" s="133"/>
    </x:row>
    <x:row r="104">
      <x:c r="A104" s="133"/>
      <x:c r="B104" s="133"/>
      <x:c r="C104" s="133"/>
      <x:c r="D104" s="133"/>
      <x:c r="E104" s="133"/>
      <x:c r="F104" s="133"/>
      <x:c r="G104" s="133"/>
      <x:c r="H104" s="133"/>
      <x:c r="I104" s="165"/>
      <x:c r="J104" s="133"/>
      <x:c r="K104" s="133"/>
    </x:row>
    <x:row r="105">
      <x:c r="A105" s="133"/>
      <x:c r="B105" s="133"/>
      <x:c r="C105" s="133"/>
      <x:c r="D105" s="133"/>
      <x:c r="E105" s="133"/>
      <x:c r="F105" s="133"/>
      <x:c r="G105" s="133"/>
      <x:c r="H105" s="133"/>
      <x:c r="I105" s="165"/>
      <x:c r="J105" s="133"/>
      <x:c r="K105" s="133"/>
    </x:row>
    <x:row r="106">
      <x:c r="I106" s="164"/>
    </x:row>
    <x:row r="107">
      <x:c r="I107" s="164"/>
    </x:row>
    <x:row r="108">
      <x:c r="I108" s="164"/>
    </x:row>
    <x:row r="109">
      <x:c r="I109" s="164"/>
    </x:row>
    <x:row r="110">
      <x:c r="I110" s="164"/>
    </x:row>
    <x:row r="111">
      <x:c r="I111" s="164"/>
    </x:row>
    <x:row r="112">
      <x:c r="I112" s="164"/>
    </x:row>
    <x:row r="113">
      <x:c r="I113" s="164"/>
    </x:row>
    <x:row r="114">
      <x:c r="I114" s="164"/>
    </x:row>
    <x:row r="115">
      <x:c r="I115" s="164"/>
    </x:row>
    <x:row r="116">
      <x:c r="I116" s="164"/>
    </x:row>
    <x:row r="117">
      <x:c r="I117" s="164"/>
    </x:row>
    <x:row r="118">
      <x:c r="I118" s="164"/>
    </x:row>
    <x:row r="119">
      <x:c r="I119" s="164"/>
    </x:row>
    <x:row r="120">
      <x:c r="I120" s="164"/>
    </x:row>
    <x:row r="121">
      <x:c r="I121" s="164"/>
    </x:row>
    <x:row r="122">
      <x:c r="I122" s="164"/>
    </x:row>
    <x:row r="123">
      <x:c r="I123" s="164"/>
    </x:row>
    <x:row r="124">
      <x:c r="I124" s="164"/>
    </x:row>
    <x:row r="125">
      <x:c r="I125" s="164"/>
    </x:row>
    <x:row r="126">
      <x:c r="I126" s="164"/>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4696bc467ac54a7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bcf5eb98b1ff46cb"/>
  </x:tableParts>
</x:worksheet>
</file>