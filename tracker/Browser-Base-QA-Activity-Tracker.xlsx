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47a142edf6948d3" /></Relationships>
</file>

<file path=xl/workbook.xml><?xml version="1.0" encoding="utf-8"?>
<x:workbook xmlns:x="http://schemas.openxmlformats.org/spreadsheetml/2006/main">
  <x:sheets>
    <x:sheet xmlns:r="http://schemas.openxmlformats.org/officeDocument/2006/relationships" name="Overview" sheetId="1" r:id="R9568972441b14528"/>
    <x:sheet xmlns:r="http://schemas.openxmlformats.org/officeDocument/2006/relationships" name="Task Tracker" sheetId="2" r:id="R955f921b743a46df"/>
    <x:sheet xmlns:r="http://schemas.openxmlformats.org/officeDocument/2006/relationships" name="Activity Log" sheetId="3" r:id="R4e689623fa0548d5"/>
    <x:sheet xmlns:r="http://schemas.openxmlformats.org/officeDocument/2006/relationships" name="QA Matrix" sheetId="4" r:id="R7f8dcc80b2bd48a1"/>
    <x:sheet xmlns:r="http://schemas.openxmlformats.org/officeDocument/2006/relationships" name="Product Gaps" sheetId="5" r:id="R161c54fbc58f4d5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dac0ac1ecb14b14" /><Relationship Type="http://schemas.openxmlformats.org/officeDocument/2006/relationships/theme" Target="/xl/theme/theme1.xml" Id="Rce653f03a07248b3" /><Relationship Type="http://schemas.openxmlformats.org/officeDocument/2006/relationships/sharedStrings" Target="/xl/sharedStrings.xml" Id="Rfcb8be6100cc483d" /><Relationship Type="http://schemas.openxmlformats.org/officeDocument/2006/relationships/worksheet" Target="/xl/worksheets/sheet1.xml" Id="R9568972441b14528" /><Relationship Type="http://schemas.openxmlformats.org/officeDocument/2006/relationships/worksheet" Target="/xl/worksheets/sheet2.xml" Id="R955f921b743a46df" /><Relationship Type="http://schemas.openxmlformats.org/officeDocument/2006/relationships/worksheet" Target="/xl/worksheets/sheet3.xml" Id="R4e689623fa0548d5" /><Relationship Type="http://schemas.openxmlformats.org/officeDocument/2006/relationships/worksheet" Target="/xl/worksheets/sheet4.xml" Id="R7f8dcc80b2bd48a1" /><Relationship Type="http://schemas.openxmlformats.org/officeDocument/2006/relationships/worksheet" Target="/xl/worksheets/sheet5.xml" Id="R161c54fbc58f4d5e" /></Relationships>
</file>

<file path=xl/tables/table1.xml><?xml version="1.0" encoding="utf-8"?>
<x:table xmlns:x="http://schemas.openxmlformats.org/spreadsheetml/2006/main" id="1" name="TaskTrackerTable" displayName="TaskTrackerTable" ref="A5:Q22"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23"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13"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6"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9aea61eabb34c20" /></Relationships>
</file>

<file path=xl/worksheets/_rels/sheet3.xml.rels>&#65279;<?xml version="1.0" encoding="utf-8"?><Relationships xmlns="http://schemas.openxmlformats.org/package/2006/relationships"><Relationship Type="http://schemas.openxmlformats.org/officeDocument/2006/relationships/table" Target="/xl/tables/table2.xml" Id="Rea9d7abcf6c6437a" /></Relationships>
</file>

<file path=xl/worksheets/_rels/sheet4.xml.rels>&#65279;<?xml version="1.0" encoding="utf-8"?><Relationships xmlns="http://schemas.openxmlformats.org/package/2006/relationships"><Relationship Type="http://schemas.openxmlformats.org/officeDocument/2006/relationships/table" Target="/xl/tables/table3.xml" Id="R2687a90aa8bf4405" /></Relationships>
</file>

<file path=xl/worksheets/_rels/sheet5.xml.rels>&#65279;<?xml version="1.0" encoding="utf-8"?><Relationships xmlns="http://schemas.openxmlformats.org/package/2006/relationships"><Relationship Type="http://schemas.openxmlformats.org/officeDocument/2006/relationships/table" Target="/xl/tables/table4.xml" Id="R20dbcffc68f84f02"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17</x:v>
      </x:c>
      <x:c r="B5" s="135"/>
      <x:c r="C5" s="136" t="n">
        <x:f>COUNTIF('Task Tracker'!$E$6:$E$200,"Done")</x:f>
        <x:v>9</x:v>
      </x:c>
      <x:c r="D5" s="137"/>
      <x:c r="E5" s="138" t="n">
        <x:f>COUNTIF('Task Tracker'!$E$6:$E$200,"In Progress")</x:f>
        <x:v>3</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108</x:v>
      </x:c>
      <x:c r="B9" s="135"/>
      <x:c r="C9" s="136" t="n">
        <x:f>COUNTIF('QA Matrix'!$H$6:$H$200,"Passed")</x:f>
        <x:v>75</x:v>
      </x:c>
      <x:c r="D9" s="137"/>
      <x:c r="E9" s="140" t="n">
        <x:f>COUNTIF('QA Matrix'!$H$6:$H$200,"Failed")</x:f>
        <x:v>13</x:v>
      </x:c>
      <x:c r="F9" s="141"/>
      <x:c r="G9" s="138" t="n">
        <x:f>COUNTIFS('Product Gaps'!$A$6:$A$200,"&lt;&gt;",'Product Gaps'!$H$6:$H$200,"&lt;&gt;Closed",'Product Gaps'!$H$6:$H$200,"&lt;&gt;Resolved",'Product Gaps'!$H$6:$H$200,"&lt;&gt;Mitigated")</x:f>
        <x:v>16</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62" customHeight="1">
      <x:c r="A17" s="120" t="str">
        <x:v>Current</x:v>
      </x:c>
      <x:c r="B17" s="121" t="str">
        <x:v>Tenant audits are clean outside 3 historical chemical mappings; provider diagnostics now fail closed or deduplicate. Current production still awaits the reviewed deploy.</x:v>
      </x:c>
      <x:c r="C17" s="121" t="str">
        <x:v>Repositories</x:v>
      </x:c>
      <x:c r="D17" s="121" t="str">
        <x:v>PestFlow PR #89 @ 36e7ab7; Browser-Base-QA @ e1089df shared with yawbtng; PRD and implementation guide synchronized.</x:v>
      </x:c>
      <x:c r="E17" s="121" t="str">
        <x:v>Activation</x:v>
      </x:c>
      <x:c r="F17" s="121" t="str">
        <x:v>Restore Actions; deploy 36e7ab7; prove 26 constraints, provider safeguards, exact-SHA 32/32 APIs, 81/81 routes, and tenant rejection matrix.</x:v>
      </x:c>
      <x:c r="G17" s="121" t="str">
        <x:v>Review</x:v>
      </x:c>
      <x:c r="H17" s="122" t="str">
        <x:v>No production row or provider was changed. Run 29216078831 was zero-step billing blocked.</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36e7ab7 + Browser-Base-QA e1089df; PR #89</x:v>
      </x:c>
      <x:c r="O8" s="113"/>
      <x:c r="P8" s="113" t="str">
        <x:v>PRD, full implementation guide, provider/field constraints, and provider diagnostic safeguards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Tenant data clean; provider diagnostics now confirmation/idempotency guarded; live operational isolation remains 200/200 until deploy</x:v>
      </x:c>
      <x:c r="N12" s="166" t="str">
        <x:v>36e7ab7; PR #89</x:v>
      </x:c>
      <x:c r="O12" s="166" t="str">
        <x:v>Requires reviewed deploy, 26-constraint proof, provider diagnostic proof, tenant rejection matrix, and restored Actions.</x:v>
      </x:c>
      <x:c r="P12" s="166" t="str">
        <x:v>Branch guards tenant references plus external diagnostic destinations/retries; current production remains uncertified.</x:v>
      </x:c>
      <x:c r="Q12" s="167" t="n">
        <x:v>46216.03611111111</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36e7ab7; PR #89</x:v>
      </x:c>
      <x:c r="O14" s="166"/>
      <x:c r="P14" s="166" t="str">
        <x:v>798-test branch gate passed; exact-head cloud run 29216078831 was zero-step billing blocked.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e1089df; PR #89 @ 36e7ab7</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constraints, prove provider safeguards, then 32/32 APIs, 81/81 routes, and tenant rejection checks.</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G-018–G-020; 26 DB guards + provider safeguards ready; PR #89 @ 36e7ab7</x:v>
      </x:c>
      <x:c r="N21" s="170" t="str">
        <x:v>36e7ab7; PR #89</x:v>
      </x:c>
      <x:c r="O21" s="170" t="str">
        <x:v>Needs merge/deploy authority, exact schema/provider proof, tenant rejection proof, and restored Actions.</x:v>
      </x:c>
      <x:c r="P21" s="170" t="str">
        <x:v>Full branch proof is green; current production and three historical chemical mismatches remain deliberately uncertified.</x:v>
      </x:c>
      <x:c r="Q21" s="171" t="n">
        <x:v>46216.03611111111</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x:c r="A23" s="133"/>
      <x:c r="B23" s="133"/>
      <x:c r="C23" s="133"/>
      <x:c r="D23" s="133"/>
      <x:c r="E23" s="133"/>
      <x:c r="F23" s="133"/>
      <x:c r="G23" s="133"/>
      <x:c r="H23" s="133"/>
      <x:c r="I23" s="133"/>
      <x:c r="J23" s="133"/>
      <x:c r="K23" s="133"/>
      <x:c r="L23" s="133"/>
      <x:c r="M23" s="133"/>
      <x:c r="N23" s="133"/>
      <x:c r="O23" s="133"/>
      <x:c r="P23" s="133"/>
      <x:c r="Q23" s="165"/>
    </x:row>
    <x:row r="24">
      <x:c r="A24" s="133"/>
      <x:c r="B24" s="133"/>
      <x:c r="C24" s="133"/>
      <x:c r="D24" s="133"/>
      <x:c r="E24" s="133"/>
      <x:c r="F24" s="133"/>
      <x:c r="G24" s="133"/>
      <x:c r="H24" s="133"/>
      <x:c r="I24" s="133"/>
      <x:c r="J24" s="133"/>
      <x:c r="K24" s="133"/>
      <x:c r="L24" s="133"/>
      <x:c r="M24" s="133"/>
      <x:c r="N24" s="133"/>
      <x:c r="O24" s="133"/>
      <x:c r="P24" s="133"/>
      <x:c r="Q24" s="165"/>
    </x:row>
    <x:row r="25">
      <x:c r="A25" s="133"/>
      <x:c r="B25" s="133"/>
      <x:c r="C25" s="133"/>
      <x:c r="D25" s="133"/>
      <x:c r="E25" s="133"/>
      <x:c r="F25" s="133"/>
      <x:c r="G25" s="133"/>
      <x:c r="H25" s="133"/>
      <x:c r="I25" s="133"/>
      <x:c r="J25" s="133"/>
      <x:c r="K25" s="133"/>
      <x:c r="L25" s="133"/>
      <x:c r="M25" s="133"/>
      <x:c r="N25" s="133"/>
      <x:c r="O25" s="133"/>
      <x:c r="P25" s="133"/>
      <x:c r="Q25" s="165"/>
    </x:row>
    <x:row r="26">
      <x:c r="A26" s="133"/>
      <x:c r="B26" s="133"/>
      <x:c r="C26" s="133"/>
      <x:c r="D26" s="133"/>
      <x:c r="E26" s="133"/>
      <x:c r="F26" s="133"/>
      <x:c r="G26" s="133"/>
      <x:c r="H26" s="133"/>
      <x:c r="I26" s="133"/>
      <x:c r="J26" s="133"/>
      <x:c r="K26" s="133"/>
      <x:c r="L26" s="133"/>
      <x:c r="M26" s="133"/>
      <x:c r="N26" s="133"/>
      <x:c r="O26" s="133"/>
      <x:c r="P26" s="133"/>
      <x:c r="Q26" s="165"/>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59aea61eabb34c2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ht="132" customHeight="1">
      <x:c r="A120" s="174" t="str">
        <x:v>AL-115</x:v>
      </x:c>
      <x:c r="B120" s="176" t="n">
        <x:v>46216.03611111111</x:v>
      </x:c>
      <x:c r="C120" s="174" t="str">
        <x:v>T-007</x:v>
      </x:c>
      <x:c r="D120" s="174" t="str">
        <x:v>Sweep remaining external-provider diagnostics</x:v>
      </x:c>
      <x:c r="E120" s="174" t="str">
        <x:v>Inventoried authenticated routes that can email, text, invite, charge, or call Stripe/Resend and traced their UI callers and existing confirmation/idempotency boundaries.</x:v>
      </x:c>
      <x:c r="F120" s="174" t="str">
        <x:v>Source + caller audit</x:v>
      </x:c>
      <x:c r="G120" s="174" t="str">
        <x:v>Two diagnostic safety gaps confirmed</x:v>
      </x:c>
      <x:c r="H120" s="174" t="str">
        <x:v>The staging 28-email proof was callable in production, and the real $1 Stripe test-send had no server confirmation or retry idempotency.</x:v>
      </x:c>
      <x:c r="I120" s="174" t="str">
        <x:v>Provider boundary</x:v>
      </x:c>
      <x:c r="J120" s="174" t="str">
        <x:v>server/routes/feature-actions.ts; server/routes/invoices.ts</x:v>
      </x:c>
      <x:c r="K120" s="174" t="str">
        <x:v>G-020</x:v>
      </x:c>
      <x:c r="L120" s="174" t="str">
        <x:v>Fail closed for staging-only bulk proof and deduplicate intentional Stripe diagnostics.</x:v>
      </x:c>
      <x:c r="M120" s="174" t="str">
        <x:v>Done</x:v>
      </x:c>
      <x:c r="N120" s="174" t="str">
        <x:v>No live provider action was executed during discovery or validation.</x:v>
      </x:c>
    </x:row>
    <x:row r="121" ht="132" customHeight="1">
      <x:c r="A121" s="174" t="str">
        <x:v>AL-116</x:v>
      </x:c>
      <x:c r="B121" s="176" t="n">
        <x:v>46216.03611111111</x:v>
      </x:c>
      <x:c r="C121" s="174" t="str">
        <x:v>T-016</x:v>
      </x:c>
      <x:c r="D121" s="174" t="str">
        <x:v>Make provider diagnostics fail safe</x:v>
      </x:c>
      <x:c r="E121" s="174" t="str">
        <x:v>Returned 404 for the 28-email batch in production; required a server-verified confirmation for Stripe test-send; added operation-specific Stripe idempotency across customer, invoice, item, finalize, and send; updated all four callers.</x:v>
      </x:c>
      <x:c r="F121" s="174" t="str">
        <x:v>PestFlow API + desktop/mobile UI</x:v>
      </x:c>
      <x:c r="G121" s="174" t="str">
        <x:v>Accidental provider duplication prevented</x:v>
      </x:c>
      <x:c r="H121" s="174" t="str">
        <x:v>Retries to the same company/email within ten minutes reuse the same Stripe operations, while intentional one-off owner diagnostics still work.</x:v>
      </x:c>
      <x:c r="I121" s="174" t="str">
        <x:v>API + provider</x:v>
      </x:c>
      <x:c r="J121" s="174" t="str">
        <x:v>server/routes/invoices.ts; server/routes/feature-actions.ts</x:v>
      </x:c>
      <x:c r="K121" s="174" t="str">
        <x:v>36e7ab7; PR #89</x:v>
      </x:c>
      <x:c r="L121" s="174" t="str">
        <x:v>Deploy and prove production bulk-preview denial before enabling live diagnostic certification.</x:v>
      </x:c>
      <x:c r="M121" s="174" t="str">
        <x:v>Done</x:v>
      </x:c>
      <x:c r="N121" s="174" t="str">
        <x:v>Also removed 15 touched-file explicit-any violations from MobileInvoicesPage instead of hiding lint debt.</x:v>
      </x:c>
    </x:row>
    <x:row r="122" ht="132" customHeight="1">
      <x:c r="A122" s="174" t="str">
        <x:v>AL-117</x:v>
      </x:c>
      <x:c r="B122" s="176" t="n">
        <x:v>46216.03611111111</x:v>
      </x:c>
      <x:c r="C122" s="174" t="str">
        <x:v>T-009</x:v>
      </x:c>
      <x:c r="D122" s="174" t="str">
        <x:v>Validate and publish provider diagnostic safeguards</x:v>
      </x:c>
      <x:c r="E122" s="174" t="str">
        <x:v>Ran the complete gate, pushed PestFlow 36e7ab7, and synchronized the updated PRD and implementation guide to Browser-Base-QA e1089df.</x:v>
      </x:c>
      <x:c r="F122" s="174" t="str">
        <x:v>Vitest + Node + TypeScript + ESLint + Vite + GitHub</x:v>
      </x:c>
      <x:c r="G122" s="174" t="str">
        <x:v>Provider safeguards published</x:v>
      </x:c>
      <x:c r="H122" s="174" t="str">
        <x:v>798/798 unit across 79 files, 48/48 Guardian policy, 16/16 incident, typecheck, lint, and the 5,699-module build passed. Browser-Base-QA passed 6/6.</x:v>
      </x:c>
      <x:c r="I122" s="174" t="str">
        <x:v>Code + documentation</x:v>
      </x:c>
      <x:c r="J122" s="174" t="str">
        <x:v>https://github.com/gicheru214/pestflow-checkout-rebuild/pull/89</x:v>
      </x:c>
      <x:c r="K122" s="174" t="str">
        <x:v>36e7ab7; e1089df</x:v>
      </x:c>
      <x:c r="L122" s="174" t="str">
        <x:v>Record the exact-head cloud gate and update the shared tracker.</x:v>
      </x:c>
      <x:c r="M122" s="174" t="str">
        <x:v>Done</x:v>
      </x:c>
      <x:c r="N122" s="174" t="str">
        <x:v>Focused provider-safety suite passed 8/8; no Stripe or Resend network request was made by validation.</x:v>
      </x:c>
    </x:row>
    <x:row r="123" ht="132" customHeight="1">
      <x:c r="A123" s="174" t="str">
        <x:v>AL-118</x:v>
      </x:c>
      <x:c r="B123" s="176" t="n">
        <x:v>46216.03611111111</x:v>
      </x:c>
      <x:c r="C123" s="174" t="str">
        <x:v>T-011</x:v>
      </x:c>
      <x:c r="D123" s="174" t="str">
        <x:v>Classify exact diagnostic-safety PR gate</x:v>
      </x:c>
      <x:c r="E123" s="174" t="str">
        <x:v>Inspected the automatic release gate for exact PestFlow head 36e7ab7 and verified whether any command executed.</x:v>
      </x:c>
      <x:c r="F123" s="174" t="str">
        <x:v>GitHub Actions</x:v>
      </x:c>
      <x:c r="G123" s="174" t="str">
        <x:v>Cloud gate blocked before execution</x:v>
      </x:c>
      <x:c r="H123" s="174" t="str">
        <x:v>Run 29216078831, job 86712135690 had zero steps under the same verified account billing/spending refusal.</x:v>
      </x:c>
      <x:c r="I123" s="174" t="str">
        <x:v>GitHub runner</x:v>
      </x:c>
      <x:c r="J123" s="174" t="str">
        <x:v>https://github.com/gicheru214/pestflow-checkout-rebuild/actions/runs/29216078831</x:v>
      </x:c>
      <x:c r="K123" s="174" t="str">
        <x:v>36e7ab7; PR #89</x:v>
      </x:c>
      <x:c r="L123" s="174" t="str">
        <x:v>Restore Actions capacity and rerun the exact-head release gate.</x:v>
      </x:c>
      <x:c r="M123" s="174" t="str">
        <x:v>Blocked</x:v>
      </x:c>
      <x:c r="N123" s="174" t="str">
        <x:v>The red check contains no product-test verdict.</x:v>
      </x:c>
    </x:row>
    <x:row r="124">
      <x:c r="B124" s="164"/>
    </x:row>
    <x:row r="125">
      <x:c r="B125" s="164"/>
    </x:row>
    <x:row r="126">
      <x:c r="B126" s="164"/>
    </x:row>
    <x:row r="127">
      <x:c r="B127" s="164"/>
    </x:row>
    <x:row r="128">
      <x:c r="B128" s="164"/>
    </x:row>
    <x:row r="129">
      <x:c r="B129" s="164"/>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ea9d7abcf6c6437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ht="94" customHeight="1">
      <x:c r="A110" s="174" t="str">
        <x:v>QA-105</x:v>
      </x:c>
      <x:c r="B110" s="174" t="str">
        <x:v>Security</x:v>
      </x:c>
      <x:c r="C110" s="174" t="str">
        <x:v>Production bulk-email preview denial</x:v>
      </x:c>
      <x:c r="D110" s="174" t="str">
        <x:v>28-template preview endpoint</x:v>
      </x:c>
      <x:c r="E110" s="174" t="str">
        <x:v>Vitest</x:v>
      </x:c>
      <x:c r="F110" s="174" t="str">
        <x:v>Yes</x:v>
      </x:c>
      <x:c r="G110" s="174" t="str">
        <x:v>T-016</x:v>
      </x:c>
      <x:c r="H110" s="174" t="str">
        <x:v>Passed</x:v>
      </x:c>
      <x:c r="I110" s="176" t="n">
        <x:v>46216.03611111111</x:v>
      </x:c>
      <x:c r="J110" s="174" t="str">
        <x:v>404 before SQL/provider</x:v>
      </x:c>
      <x:c r="K110" s="174" t="str">
        <x:v>Production request returned Not found; fetch and SQL mocks remained untouched.</x:v>
      </x:c>
    </x:row>
    <x:row r="111" ht="94" customHeight="1">
      <x:c r="A111" s="174" t="str">
        <x:v>QA-106</x:v>
      </x:c>
      <x:c r="B111" s="174" t="str">
        <x:v>Reliability</x:v>
      </x:c>
      <x:c r="C111" s="174" t="str">
        <x:v>Stripe diagnostic confirmation and idempotency</x:v>
      </x:c>
      <x:c r="D111" s="174" t="str">
        <x:v>Server route + four callers</x:v>
      </x:c>
      <x:c r="E111" s="174" t="str">
        <x:v>Source contract + TypeScript</x:v>
      </x:c>
      <x:c r="F111" s="174" t="str">
        <x:v>Yes</x:v>
      </x:c>
      <x:c r="G111" s="174" t="str">
        <x:v>T-016</x:v>
      </x:c>
      <x:c r="H111" s="174" t="str">
        <x:v>Passed</x:v>
      </x:c>
      <x:c r="I111" s="176" t="n">
        <x:v>46216.03611111111</x:v>
      </x:c>
      <x:c r="J111" s="174" t="str">
        <x:v>5/5 operations idempotent</x:v>
      </x:c>
      <x:c r="K111" s="174" t="str">
        <x:v>Confirmation precedes company/Stripe lookup; customer, invoice, item, finalize, and send use operation-specific keys in a ten-minute window.</x:v>
      </x:c>
    </x:row>
    <x:row r="112" ht="94" customHeight="1">
      <x:c r="A112" s="174" t="str">
        <x:v>QA-107</x:v>
      </x:c>
      <x:c r="B112" s="174" t="str">
        <x:v>Quality</x:v>
      </x:c>
      <x:c r="C112" s="174" t="str">
        <x:v>Full diagnostic-safety branch validation</x:v>
      </x:c>
      <x:c r="D112" s="174" t="str">
        <x:v>79 unit files + Guardian + incident + build</x:v>
      </x:c>
      <x:c r="E112" s="174" t="str">
        <x:v>Vitest + Node + TypeScript + ESLint + Vite</x:v>
      </x:c>
      <x:c r="F112" s="174" t="str">
        <x:v>Yes</x:v>
      </x:c>
      <x:c r="G112" s="174" t="str">
        <x:v>T-009</x:v>
      </x:c>
      <x:c r="H112" s="174" t="str">
        <x:v>Passed</x:v>
      </x:c>
      <x:c r="I112" s="176" t="n">
        <x:v>46216.03611111111</x:v>
      </x:c>
      <x:c r="J112" s="174" t="str">
        <x:v>798/798; 48/48; 16/16; build passed</x:v>
      </x:c>
      <x:c r="K112" s="174" t="str">
        <x:v>Touched-file lint is clean and production build transformed 5,699 modules.</x:v>
      </x:c>
    </x:row>
    <x:row r="113" ht="94" customHeight="1">
      <x:c r="A113" s="174" t="str">
        <x:v>QA-108</x:v>
      </x:c>
      <x:c r="B113" s="174" t="str">
        <x:v>Infrastructure</x:v>
      </x:c>
      <x:c r="C113" s="174" t="str">
        <x:v>Exact diagnostic-safety PR gate</x:v>
      </x:c>
      <x:c r="D113" s="174" t="str">
        <x:v>GitHub runner</x:v>
      </x:c>
      <x:c r="E113" s="174" t="str">
        <x:v>GitHub Actions</x:v>
      </x:c>
      <x:c r="F113" s="174" t="str">
        <x:v>Yes</x:v>
      </x:c>
      <x:c r="G113" s="174" t="str">
        <x:v>T-011</x:v>
      </x:c>
      <x:c r="H113" s="174" t="str">
        <x:v>Blocked</x:v>
      </x:c>
      <x:c r="I113" s="176" t="n">
        <x:v>46216.03611111111</x:v>
      </x:c>
      <x:c r="J113" s="174" t="str">
        <x:v>Run 29216078831: zero steps</x:v>
      </x:c>
      <x:c r="K113" s="174" t="str">
        <x:v>Verified payment/spending refusal; no product command started.</x:v>
      </x:c>
    </x:row>
    <x:row r="114">
      <x:c r="I114" s="164"/>
    </x:row>
    <x:row r="115">
      <x:c r="I115" s="164"/>
    </x:row>
    <x:row r="116">
      <x:c r="I116" s="164"/>
    </x:row>
    <x:row r="117">
      <x:c r="I117" s="164"/>
    </x:row>
    <x:row r="118">
      <x:c r="I118" s="164"/>
    </x:row>
    <x:row r="119">
      <x:c r="I119" s="164"/>
    </x:row>
    <x:row r="120">
      <x:c r="I120" s="164"/>
    </x:row>
    <x:row r="121">
      <x:c r="I121" s="164"/>
    </x:row>
    <x:row r="122">
      <x:c r="I122" s="164"/>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2687a90aa8bf440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row r="26" ht="150" customHeight="1">
      <x:c r="A26" s="174" t="str">
        <x:v>G-020</x:v>
      </x:c>
      <x:c r="B26" s="174" t="str">
        <x:v>T-007</x:v>
      </x:c>
      <x:c r="C26" s="174" t="str">
        <x:v>Provider Diagnostic Safety</x:v>
      </x:c>
      <x:c r="D26" s="174" t="str">
        <x:v>A staging-only 28-email preview was reachable in production, and the real $1 Stripe test-send lacked server confirmation and provider idempotency.</x:v>
      </x:c>
      <x:c r="E26" s="174" t="str">
        <x:v>An authenticated mistake, retry, or double-click could schedule bulk proof email or create duplicate Stripe test customers, invoices, items, finalizations, and sends.</x:v>
      </x:c>
      <x:c r="F26" s="174" t="str">
        <x:v>Critical</x:v>
      </x:c>
      <x:c r="G26" s="174" t="str">
        <x:v>Deploy 36e7ab7, prove the preview returns 404 in production, and verify repeated confirmed test-send requests return one Stripe operation set.</x:v>
      </x:c>
      <x:c r="H26" s="174" t="str">
        <x:v>Open</x:v>
      </x:c>
      <x:c r="I26" s="174" t="str">
        <x:v>T-016</x:v>
      </x:c>
      <x:c r="J26" s="174" t="str">
        <x:v>Trevor + Codex</x:v>
      </x:c>
      <x:c r="K26" s="174" t="str">
        <x:v>8/8 focused safeguards; 798/798 full unit; type/lint/build green; no live provider request used for verification.</x:v>
      </x:c>
      <x:c r="L26" s="174" t="str">
        <x:v>Branch prevention is ready. Exact production provider proof remains intentionally pending deployment and an approved test recipient.</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20dbcffc68f84f02"/>
  </x:tableParts>
</x:worksheet>
</file>