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e3b3a7a9aa4117" /></Relationships>
</file>

<file path=xl/workbook.xml><?xml version="1.0" encoding="utf-8"?>
<x:workbook xmlns:x="http://schemas.openxmlformats.org/spreadsheetml/2006/main">
  <x:sheets>
    <x:sheet xmlns:r="http://schemas.openxmlformats.org/officeDocument/2006/relationships" name="Overview" sheetId="1" r:id="Re95865165f6842f7"/>
    <x:sheet xmlns:r="http://schemas.openxmlformats.org/officeDocument/2006/relationships" name="Task Tracker" sheetId="2" r:id="R061ac27910204b67"/>
    <x:sheet xmlns:r="http://schemas.openxmlformats.org/officeDocument/2006/relationships" name="Activity Log" sheetId="3" r:id="Re308fae81fbf4c22"/>
    <x:sheet xmlns:r="http://schemas.openxmlformats.org/officeDocument/2006/relationships" name="QA Matrix" sheetId="4" r:id="R026ec276fc8441c0"/>
    <x:sheet xmlns:r="http://schemas.openxmlformats.org/officeDocument/2006/relationships" name="Product Gaps" sheetId="5" r:id="R07f421a5550f457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hh:mm"/>
    <x:numFmt numFmtId="202" formatCode="yyyy-mm-dd"/>
  </x:numFmts>
  <x:fonts count="20">
    <x:font>
      <x:sz val="11"/>
      <x:name val="Carlito"/>
    </x:font>
    <x:font>
      <x:b/>
      <x:sz val="20"/>
      <x:color rgb="FFFFFFFF"/>
      <x:name val="Aptos Display"/>
    </x:font>
    <x:font>
      <x:sz val="10"/>
      <x:color rgb="FF344054"/>
      <x:name val="Aptos"/>
    </x:font>
    <x:font>
      <x:b/>
      <x:sz val="9"/>
      <x:color rgb="FF2563EB"/>
      <x:name val="Aptos"/>
    </x:font>
    <x:font>
      <x:b/>
      <x:sz val="22"/>
      <x:color rgb="FF2563EB"/>
      <x:name val="Aptos Display"/>
    </x:font>
    <x:font>
      <x:b/>
      <x:sz val="9"/>
      <x:color rgb="FF176B3A"/>
      <x:name val="Aptos"/>
    </x:font>
    <x:font>
      <x:b/>
      <x:sz val="22"/>
      <x:color rgb="FF176B3A"/>
      <x:name val="Aptos Display"/>
    </x:font>
    <x:font>
      <x:b/>
      <x:sz val="9"/>
      <x:color rgb="FF8A5A00"/>
      <x:name val="Aptos"/>
    </x:font>
    <x:font>
      <x:b/>
      <x:sz val="22"/>
      <x:color rgb="FF8A5A00"/>
      <x:name val="Aptos Display"/>
    </x:font>
    <x:font>
      <x:b/>
      <x:sz val="9"/>
      <x:color rgb="FFB42318"/>
      <x:name val="Aptos"/>
    </x:font>
    <x:font>
      <x:b/>
      <x:sz val="22"/>
      <x:color rgb="FFB42318"/>
      <x:name val="Aptos Display"/>
    </x:font>
    <x:font>
      <x:b/>
      <x:sz val="11"/>
      <x:color rgb="FFFFFFFF"/>
      <x:name val="Aptos"/>
    </x:font>
    <x:font>
      <x:sz val="10"/>
      <x:color rgb="FF243447"/>
      <x:name val="Aptos"/>
    </x:font>
    <x:font>
      <x:b/>
      <x:sz val="20"/>
      <x:color rgb="FFFFFFFF"/>
      <x:name val="Aptos"/>
    </x:font>
    <x:font>
      <x:sz val="11"/>
      <x:name val="Aptos"/>
    </x:font>
    <x:font>
      <x:b/>
      <x:sz val="22"/>
      <x:color rgb="FF2563EB"/>
      <x:name val="Aptos"/>
    </x:font>
    <x:font>
      <x:b/>
      <x:sz val="22"/>
      <x:color rgb="FF176B3A"/>
      <x:name val="Aptos"/>
    </x:font>
    <x:font>
      <x:b/>
      <x:sz val="22"/>
      <x:color rgb="FF8A5A00"/>
      <x:name val="Aptos"/>
    </x:font>
    <x:font>
      <x:b/>
      <x:sz val="22"/>
      <x:color rgb="FFB42318"/>
      <x:name val="Aptos"/>
    </x:font>
    <x:font>
      <x:b/>
      <x:sz val="10"/>
      <x:color rgb="FFFFFFFF"/>
      <x:name val="Aptos"/>
    </x:font>
  </x:fonts>
  <x:fills count="10">
    <x:fill>
      <x:patternFill patternType="none"/>
    </x:fill>
    <x:fill>
      <x:patternFill patternType="gray125"/>
    </x:fill>
    <x:fill>
      <x:patternFill patternType="solid">
        <x:fgColor rgb="FF16253D"/>
      </x:patternFill>
    </x:fill>
    <x:fill>
      <x:patternFill patternType="solid">
        <x:fgColor rgb="FFEAF2FF"/>
      </x:patternFill>
    </x:fill>
    <x:fill>
      <x:patternFill patternType="solid">
        <x:fgColor rgb="FFFFFFFF"/>
      </x:patternFill>
    </x:fill>
    <x:fill>
      <x:patternFill patternType="solid">
        <x:fgColor rgb="FFEAF7EE"/>
      </x:patternFill>
    </x:fill>
    <x:fill>
      <x:patternFill patternType="solid">
        <x:fgColor rgb="FFFFF6D8"/>
      </x:patternFill>
    </x:fill>
    <x:fill>
      <x:patternFill patternType="solid">
        <x:fgColor rgb="FFFDECEC"/>
      </x:patternFill>
    </x:fill>
    <x:fill>
      <x:patternFill patternType="solid">
        <x:fgColor rgb="FF0F766E"/>
      </x:patternFill>
    </x:fill>
    <x:fill>
      <x:patternFill patternType="solid">
        <x:fgColor rgb="FFFBFCFE"/>
      </x:patternFill>
    </x:fill>
  </x:fills>
  <x:borders count="15">
    <x:border/>
    <x:border>
      <x:left style="thin">
        <x:color rgb="FFD9E0E7"/>
      </x:left>
      <x:top style="thin">
        <x:color rgb="FFD9E0E7"/>
      </x:top>
      <x:bottom style="thin">
        <x:color rgb="FFD9E0E7"/>
      </x:bottom>
    </x:border>
    <x:border>
      <x:right style="thin">
        <x:color rgb="FFD9E0E7"/>
      </x:right>
      <x:top style="thin">
        <x:color rgb="FFD9E0E7"/>
      </x:top>
      <x:bottom style="thin">
        <x:color rgb="FFD9E0E7"/>
      </x:bottom>
    </x:border>
    <x:border>
      <x:left style="thin">
        <x:color rgb="FFD9E0E7"/>
      </x:left>
      <x:top style="thin">
        <x:color rgb="FFD9E0E7"/>
      </x:top>
    </x:border>
    <x:border>
      <x:right style="thin">
        <x:color rgb="FFD9E0E7"/>
      </x:right>
      <x:top style="thin">
        <x:color rgb="FFD9E0E7"/>
      </x:top>
    </x:border>
    <x:border>
      <x:left style="thin">
        <x:color rgb="FFD9E0E7"/>
      </x:left>
      <x:bottom style="thin">
        <x:color rgb="FFD9E0E7"/>
      </x:bottom>
    </x:border>
    <x:border>
      <x:right style="thin">
        <x:color rgb="FFD9E0E7"/>
      </x:right>
      <x:bottom style="thin">
        <x:color rgb="FFD9E0E7"/>
      </x:bottom>
    </x:border>
    <x:border>
      <x:left style="thin">
        <x:color rgb="FFD9E0E7"/>
      </x:left>
      <x:right style="thin">
        <x:color rgb="FFD9E0E7"/>
      </x:right>
      <x:bottom style="thin">
        <x:color rgb="FFD9E0E7"/>
      </x:bottom>
    </x:border>
    <x:border>
      <x:left style="thin">
        <x:color rgb="FFD9E0E7"/>
      </x:left>
      <x:right style="thin">
        <x:color rgb="FFD9E0E7"/>
      </x:right>
      <x:top style="thin">
        <x:color rgb="FFD9E0E7"/>
      </x:top>
      <x:bottom style="thin">
        <x:color rgb="FFD9E0E7"/>
      </x:bottom>
    </x:border>
    <x:border>
      <x:left style="thin">
        <x:color rgb="FFD9E0E7"/>
      </x:left>
      <x:right style="thin">
        <x:color rgb="FFD9E0E7"/>
      </x:right>
      <x:top style="thin">
        <x:color rgb="FFD9E0E7"/>
      </x:top>
    </x:border>
    <x:border>
      <x:top style="thin">
        <x:color rgb="FFD9E0E7"/>
      </x:top>
    </x:border>
    <x:border>
      <x:left style="thin">
        <x:color rgb="FFD9E0E7"/>
      </x:left>
    </x:border>
    <x:border>
      <x:right style="thin">
        <x:color rgb="FFD9E0E7"/>
      </x:right>
    </x:border>
    <x:border>
      <x:bottom style="thin">
        <x:color rgb="FFD9E0E7"/>
      </x:bottom>
    </x:border>
    <x:border>
      <x:top style="thin">
        <x:color rgb="FFD9E0E7"/>
      </x:top>
      <x:bottom style="thin">
        <x:color rgb="FFD9E0E7"/>
      </x:bottom>
    </x:border>
  </x:borders>
  <x:cellStyleXfs count="1">
    <x:xf numFmtId="0" fontId="0" fillId="0" borderId="0"/>
  </x:cellStyleXfs>
  <x:cellXfs count="17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3" borderId="0"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3" fillId="3" borderId="1" xfId="0" applyNumberFormat="1" applyFont="1" applyFill="1" applyBorder="1" applyAlignment="1">
      <x:alignment horizontal="center"/>
    </x:xf>
    <x:xf numFmtId="0" fontId="3" fillId="3" borderId="2" xfId="0" applyNumberFormat="1" applyFont="1" applyFill="1" applyBorder="1" applyAlignment="1">
      <x:alignment horizontal="center"/>
    </x:xf>
    <x:xf numFmtId="0" fontId="3" fillId="3" borderId="1" xfId="0" applyNumberFormat="1" applyFont="1" applyFill="1" applyBorder="1" applyAlignment="1">
      <x:alignment horizontal="center" vertical="center"/>
    </x:xf>
    <x:xf numFmtId="0" fontId="3" fillId="3" borderId="2" xfId="0" applyNumberFormat="1" applyFont="1" applyFill="1" applyBorder="1" applyAlignment="1">
      <x:alignment horizontal="center" vertical="center"/>
    </x:xf>
    <x:xf numFmtId="0" fontId="0" fillId="4" borderId="0" xfId="0" applyNumberFormat="1" applyFont="1" applyFill="1" applyBorder="1"/>
    <x:xf numFmtId="0" fontId="4" fillId="4" borderId="0" xfId="0" applyNumberFormat="1" applyFont="1" applyFill="1" applyBorder="1"/>
    <x:xf numFmtId="0" fontId="4" fillId="4" borderId="3"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6" xfId="0" applyNumberFormat="1" applyFont="1" applyFill="1" applyBorder="1"/>
    <x:xf numFmtId="200" fontId="4" fillId="4" borderId="3" xfId="0" applyNumberFormat="1" applyFont="1" applyFill="1" applyBorder="1"/>
    <x:xf numFmtId="200" fontId="4" fillId="4" borderId="4" xfId="0" applyNumberFormat="1" applyFont="1" applyFill="1" applyBorder="1"/>
    <x:xf numFmtId="200" fontId="4" fillId="4" borderId="5" xfId="0" applyNumberFormat="1" applyFont="1" applyFill="1" applyBorder="1"/>
    <x:xf numFmtId="200" fontId="4" fillId="4" borderId="6" xfId="0" applyNumberFormat="1" applyFont="1" applyFill="1" applyBorder="1"/>
    <x:xf numFmtId="200" fontId="4" fillId="4" borderId="3" xfId="0" applyNumberFormat="1" applyFont="1" applyFill="1" applyBorder="1" applyAlignment="1">
      <x:alignment horizontal="center"/>
    </x:xf>
    <x:xf numFmtId="200" fontId="4" fillId="4" borderId="4" xfId="0" applyNumberFormat="1" applyFont="1" applyFill="1" applyBorder="1" applyAlignment="1">
      <x:alignment horizontal="center"/>
    </x:xf>
    <x:xf numFmtId="200" fontId="4" fillId="4" borderId="5" xfId="0" applyNumberFormat="1" applyFont="1" applyFill="1" applyBorder="1" applyAlignment="1">
      <x:alignment horizontal="center"/>
    </x:xf>
    <x:xf numFmtId="200" fontId="4" fillId="4" borderId="6" xfId="0" applyNumberFormat="1" applyFont="1" applyFill="1" applyBorder="1" applyAlignment="1">
      <x:alignment horizontal="center"/>
    </x:xf>
    <x:xf numFmtId="200" fontId="4" fillId="4" borderId="3" xfId="0" applyNumberFormat="1" applyFont="1" applyFill="1" applyBorder="1" applyAlignment="1">
      <x:alignment horizontal="center" vertical="center"/>
    </x:xf>
    <x:xf numFmtId="200" fontId="4" fillId="4" borderId="4" xfId="0" applyNumberFormat="1" applyFont="1" applyFill="1" applyBorder="1" applyAlignment="1">
      <x:alignment horizontal="center" vertical="center"/>
    </x:xf>
    <x:xf numFmtId="200" fontId="4" fillId="4" borderId="5" xfId="0" applyNumberFormat="1" applyFont="1" applyFill="1" applyBorder="1" applyAlignment="1">
      <x:alignment horizontal="center" vertical="center"/>
    </x:xf>
    <x:xf numFmtId="200" fontId="4" fillId="4" borderId="6"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2" xfId="0" applyNumberFormat="1" applyFont="1" applyFill="1" applyBorder="1"/>
    <x:xf numFmtId="0" fontId="5" fillId="5" borderId="1" xfId="0" applyNumberFormat="1" applyFont="1" applyFill="1" applyBorder="1" applyAlignment="1">
      <x:alignment horizontal="center"/>
    </x:xf>
    <x:xf numFmtId="0" fontId="5" fillId="5" borderId="2" xfId="0" applyNumberFormat="1" applyFont="1" applyFill="1" applyBorder="1" applyAlignment="1">
      <x:alignment horizontal="center"/>
    </x:xf>
    <x:xf numFmtId="0" fontId="5" fillId="5" borderId="1" xfId="0" applyNumberFormat="1" applyFont="1" applyFill="1" applyBorder="1" applyAlignment="1">
      <x:alignment horizontal="center" vertical="center"/>
    </x:xf>
    <x:xf numFmtId="0" fontId="5" fillId="5" borderId="2" xfId="0" applyNumberFormat="1" applyFont="1" applyFill="1" applyBorder="1" applyAlignment="1">
      <x:alignment horizontal="center" vertical="center"/>
    </x:xf>
    <x:xf numFmtId="0" fontId="6" fillId="4" borderId="0" xfId="0" applyNumberFormat="1" applyFont="1" applyFill="1" applyBorder="1"/>
    <x:xf numFmtId="0" fontId="6" fillId="4" borderId="3" xfId="0" applyNumberFormat="1" applyFont="1" applyFill="1" applyBorder="1"/>
    <x:xf numFmtId="0" fontId="6" fillId="4" borderId="4" xfId="0" applyNumberFormat="1" applyFont="1" applyFill="1" applyBorder="1"/>
    <x:xf numFmtId="0" fontId="6" fillId="4" borderId="5" xfId="0" applyNumberFormat="1" applyFont="1" applyFill="1" applyBorder="1"/>
    <x:xf numFmtId="0" fontId="6" fillId="4" borderId="6" xfId="0" applyNumberFormat="1" applyFont="1" applyFill="1" applyBorder="1"/>
    <x:xf numFmtId="200" fontId="6" fillId="4" borderId="3" xfId="0" applyNumberFormat="1" applyFont="1" applyFill="1" applyBorder="1"/>
    <x:xf numFmtId="200" fontId="6" fillId="4" borderId="4" xfId="0" applyNumberFormat="1" applyFont="1" applyFill="1" applyBorder="1"/>
    <x:xf numFmtId="200" fontId="6" fillId="4" borderId="5" xfId="0" applyNumberFormat="1" applyFont="1" applyFill="1" applyBorder="1"/>
    <x:xf numFmtId="200" fontId="6" fillId="4" borderId="6" xfId="0" applyNumberFormat="1" applyFont="1" applyFill="1" applyBorder="1"/>
    <x:xf numFmtId="200" fontId="6" fillId="4" borderId="3" xfId="0" applyNumberFormat="1" applyFont="1" applyFill="1" applyBorder="1" applyAlignment="1">
      <x:alignment horizontal="center"/>
    </x:xf>
    <x:xf numFmtId="200" fontId="6" fillId="4" borderId="4" xfId="0" applyNumberFormat="1" applyFont="1" applyFill="1" applyBorder="1" applyAlignment="1">
      <x:alignment horizontal="center"/>
    </x:xf>
    <x:xf numFmtId="200" fontId="6" fillId="4" borderId="5" xfId="0" applyNumberFormat="1" applyFont="1" applyFill="1" applyBorder="1" applyAlignment="1">
      <x:alignment horizontal="center"/>
    </x:xf>
    <x:xf numFmtId="200" fontId="6" fillId="4" borderId="6" xfId="0" applyNumberFormat="1" applyFont="1" applyFill="1" applyBorder="1" applyAlignment="1">
      <x:alignment horizontal="center"/>
    </x:xf>
    <x:xf numFmtId="200" fontId="6" fillId="4" borderId="3" xfId="0" applyNumberFormat="1" applyFont="1" applyFill="1" applyBorder="1" applyAlignment="1">
      <x:alignment horizontal="center" vertical="center"/>
    </x:xf>
    <x:xf numFmtId="200" fontId="6" fillId="4" borderId="4" xfId="0" applyNumberFormat="1" applyFont="1" applyFill="1" applyBorder="1" applyAlignment="1">
      <x:alignment horizontal="center" vertical="center"/>
    </x:xf>
    <x:xf numFmtId="200" fontId="6" fillId="4" borderId="5" xfId="0" applyNumberFormat="1" applyFont="1" applyFill="1" applyBorder="1" applyAlignment="1">
      <x:alignment horizontal="center" vertical="center"/>
    </x:xf>
    <x:xf numFmtId="200" fontId="6" fillId="4" borderId="6" xfId="0" applyNumberFormat="1" applyFont="1" applyFill="1" applyBorder="1" applyAlignment="1">
      <x:alignment horizontal="center" vertical="center"/>
    </x:xf>
    <x:xf numFmtId="0" fontId="0" fillId="6" borderId="0" xfId="0" applyNumberFormat="1" applyFont="1" applyFill="1" applyBorder="1"/>
    <x:xf numFmtId="0" fontId="7" fillId="6" borderId="0" xfId="0" applyNumberFormat="1" applyFont="1" applyFill="1" applyBorder="1"/>
    <x:xf numFmtId="0" fontId="7" fillId="6" borderId="1" xfId="0" applyNumberFormat="1" applyFont="1" applyFill="1" applyBorder="1"/>
    <x:xf numFmtId="0" fontId="7" fillId="6" borderId="2" xfId="0" applyNumberFormat="1" applyFont="1" applyFill="1" applyBorder="1"/>
    <x:xf numFmtId="0" fontId="7" fillId="6" borderId="1" xfId="0" applyNumberFormat="1" applyFont="1" applyFill="1" applyBorder="1" applyAlignment="1">
      <x:alignment horizontal="center"/>
    </x:xf>
    <x:xf numFmtId="0" fontId="7" fillId="6" borderId="2" xfId="0" applyNumberFormat="1" applyFont="1" applyFill="1" applyBorder="1" applyAlignment="1">
      <x:alignment horizontal="center"/>
    </x:xf>
    <x:xf numFmtId="0" fontId="7" fillId="6" borderId="1" xfId="0" applyNumberFormat="1" applyFont="1" applyFill="1" applyBorder="1" applyAlignment="1">
      <x:alignment horizontal="center" vertical="center"/>
    </x:xf>
    <x:xf numFmtId="0" fontId="7" fillId="6" borderId="2" xfId="0" applyNumberFormat="1" applyFont="1" applyFill="1" applyBorder="1" applyAlignment="1">
      <x:alignment horizontal="center" vertical="center"/>
    </x:xf>
    <x:xf numFmtId="0" fontId="8" fillId="4" borderId="0" xfId="0" applyNumberFormat="1" applyFont="1" applyFill="1" applyBorder="1"/>
    <x:xf numFmtId="0" fontId="8" fillId="4" borderId="3" xfId="0" applyNumberFormat="1" applyFont="1" applyFill="1" applyBorder="1"/>
    <x:xf numFmtId="0" fontId="8" fillId="4" borderId="4" xfId="0" applyNumberFormat="1" applyFont="1" applyFill="1" applyBorder="1"/>
    <x:xf numFmtId="0" fontId="8" fillId="4" borderId="5" xfId="0" applyNumberFormat="1" applyFont="1" applyFill="1" applyBorder="1"/>
    <x:xf numFmtId="0" fontId="8" fillId="4" borderId="6" xfId="0" applyNumberFormat="1" applyFont="1" applyFill="1" applyBorder="1"/>
    <x:xf numFmtId="200" fontId="8" fillId="4" borderId="3" xfId="0" applyNumberFormat="1" applyFont="1" applyFill="1" applyBorder="1"/>
    <x:xf numFmtId="200" fontId="8" fillId="4" borderId="4" xfId="0" applyNumberFormat="1" applyFont="1" applyFill="1" applyBorder="1"/>
    <x:xf numFmtId="200" fontId="8" fillId="4" borderId="5" xfId="0" applyNumberFormat="1" applyFont="1" applyFill="1" applyBorder="1"/>
    <x:xf numFmtId="200" fontId="8" fillId="4" borderId="6" xfId="0" applyNumberFormat="1" applyFont="1" applyFill="1" applyBorder="1"/>
    <x:xf numFmtId="200" fontId="8" fillId="4" borderId="3" xfId="0" applyNumberFormat="1" applyFont="1" applyFill="1" applyBorder="1" applyAlignment="1">
      <x:alignment horizontal="center"/>
    </x:xf>
    <x:xf numFmtId="200" fontId="8" fillId="4" borderId="4" xfId="0" applyNumberFormat="1" applyFont="1" applyFill="1" applyBorder="1" applyAlignment="1">
      <x:alignment horizontal="center"/>
    </x:xf>
    <x:xf numFmtId="200" fontId="8" fillId="4" borderId="5" xfId="0" applyNumberFormat="1" applyFont="1" applyFill="1" applyBorder="1" applyAlignment="1">
      <x:alignment horizontal="center"/>
    </x:xf>
    <x:xf numFmtId="200" fontId="8" fillId="4" borderId="6" xfId="0" applyNumberFormat="1" applyFont="1" applyFill="1" applyBorder="1" applyAlignment="1">
      <x:alignment horizontal="center"/>
    </x:xf>
    <x:xf numFmtId="200" fontId="8" fillId="4" borderId="3" xfId="0" applyNumberFormat="1" applyFont="1" applyFill="1" applyBorder="1" applyAlignment="1">
      <x:alignment horizontal="center" vertical="center"/>
    </x:xf>
    <x:xf numFmtId="200" fontId="8" fillId="4" borderId="4" xfId="0" applyNumberFormat="1" applyFont="1" applyFill="1" applyBorder="1" applyAlignment="1">
      <x:alignment horizontal="center" vertical="center"/>
    </x:xf>
    <x:xf numFmtId="200" fontId="8" fillId="4" borderId="5" xfId="0" applyNumberFormat="1" applyFont="1" applyFill="1" applyBorder="1" applyAlignment="1">
      <x:alignment horizontal="center" vertical="center"/>
    </x:xf>
    <x:xf numFmtId="200" fontId="8" fillId="4" borderId="6" xfId="0" applyNumberFormat="1" applyFont="1" applyFill="1" applyBorder="1" applyAlignment="1">
      <x:alignment horizontal="center" vertical="center"/>
    </x:xf>
    <x:xf numFmtId="0" fontId="0" fillId="7" borderId="0" xfId="0" applyNumberFormat="1" applyFont="1" applyFill="1" applyBorder="1"/>
    <x:xf numFmtId="0" fontId="9" fillId="7" borderId="0" xfId="0" applyNumberFormat="1" applyFont="1" applyFill="1" applyBorder="1"/>
    <x:xf numFmtId="0" fontId="9" fillId="7" borderId="1" xfId="0" applyNumberFormat="1" applyFont="1" applyFill="1" applyBorder="1"/>
    <x:xf numFmtId="0" fontId="9" fillId="7" borderId="2" xfId="0" applyNumberFormat="1" applyFont="1" applyFill="1" applyBorder="1"/>
    <x:xf numFmtId="0" fontId="9" fillId="7" borderId="1" xfId="0" applyNumberFormat="1" applyFont="1" applyFill="1" applyBorder="1" applyAlignment="1">
      <x:alignment horizontal="center"/>
    </x:xf>
    <x:xf numFmtId="0" fontId="9" fillId="7" borderId="2" xfId="0" applyNumberFormat="1" applyFont="1" applyFill="1" applyBorder="1" applyAlignment="1">
      <x:alignment horizontal="center"/>
    </x:xf>
    <x:xf numFmtId="0" fontId="9" fillId="7" borderId="1" xfId="0" applyNumberFormat="1" applyFont="1" applyFill="1" applyBorder="1" applyAlignment="1">
      <x:alignment horizontal="center" vertical="center"/>
    </x:xf>
    <x:xf numFmtId="0" fontId="9" fillId="7" borderId="2" xfId="0" applyNumberFormat="1" applyFont="1" applyFill="1" applyBorder="1" applyAlignment="1">
      <x:alignment horizontal="center" vertical="center"/>
    </x:xf>
    <x:xf numFmtId="0" fontId="10" fillId="4" borderId="0" xfId="0" applyNumberFormat="1" applyFont="1" applyFill="1" applyBorder="1"/>
    <x:xf numFmtId="0" fontId="10" fillId="4" borderId="3" xfId="0" applyNumberFormat="1" applyFont="1" applyFill="1" applyBorder="1"/>
    <x:xf numFmtId="0" fontId="10" fillId="4" borderId="4" xfId="0" applyNumberFormat="1" applyFont="1" applyFill="1" applyBorder="1"/>
    <x:xf numFmtId="0" fontId="10" fillId="4" borderId="5" xfId="0" applyNumberFormat="1" applyFont="1" applyFill="1" applyBorder="1"/>
    <x:xf numFmtId="0" fontId="10" fillId="4" borderId="6" xfId="0" applyNumberFormat="1" applyFont="1" applyFill="1" applyBorder="1"/>
    <x:xf numFmtId="200" fontId="10" fillId="4" borderId="3" xfId="0" applyNumberFormat="1" applyFont="1" applyFill="1" applyBorder="1"/>
    <x:xf numFmtId="200" fontId="10" fillId="4" borderId="4" xfId="0" applyNumberFormat="1" applyFont="1" applyFill="1" applyBorder="1"/>
    <x:xf numFmtId="200" fontId="10" fillId="4" borderId="5" xfId="0" applyNumberFormat="1" applyFont="1" applyFill="1" applyBorder="1"/>
    <x:xf numFmtId="200" fontId="10" fillId="4" borderId="6" xfId="0" applyNumberFormat="1" applyFont="1" applyFill="1" applyBorder="1"/>
    <x:xf numFmtId="200" fontId="10" fillId="4" borderId="3" xfId="0" applyNumberFormat="1" applyFont="1" applyFill="1" applyBorder="1" applyAlignment="1">
      <x:alignment horizontal="center"/>
    </x:xf>
    <x:xf numFmtId="200" fontId="10" fillId="4" borderId="4" xfId="0" applyNumberFormat="1" applyFont="1" applyFill="1" applyBorder="1" applyAlignment="1">
      <x:alignment horizontal="center"/>
    </x:xf>
    <x:xf numFmtId="200" fontId="10" fillId="4" borderId="5" xfId="0" applyNumberFormat="1" applyFont="1" applyFill="1" applyBorder="1" applyAlignment="1">
      <x:alignment horizontal="center"/>
    </x:xf>
    <x:xf numFmtId="200" fontId="10" fillId="4" borderId="6" xfId="0" applyNumberFormat="1" applyFont="1" applyFill="1" applyBorder="1" applyAlignment="1">
      <x:alignment horizontal="center"/>
    </x:xf>
    <x:xf numFmtId="200" fontId="10" fillId="4" borderId="3" xfId="0" applyNumberFormat="1" applyFont="1" applyFill="1" applyBorder="1" applyAlignment="1">
      <x:alignment horizontal="center" vertical="center"/>
    </x:xf>
    <x:xf numFmtId="200" fontId="10" fillId="4" borderId="4" xfId="0" applyNumberFormat="1" applyFont="1" applyFill="1" applyBorder="1" applyAlignment="1">
      <x:alignment horizontal="center" vertical="center"/>
    </x:xf>
    <x:xf numFmtId="200" fontId="10" fillId="4" borderId="5" xfId="0" applyNumberFormat="1" applyFont="1" applyFill="1" applyBorder="1" applyAlignment="1">
      <x:alignment horizontal="center" vertical="center"/>
    </x:xf>
    <x:xf numFmtId="200" fontId="10" fillId="4" borderId="6" xfId="0" applyNumberFormat="1" applyFont="1" applyFill="1" applyBorder="1" applyAlignment="1">
      <x:alignment horizontal="center" vertical="center"/>
    </x:xf>
    <x:xf numFmtId="0" fontId="0" fillId="8" borderId="0" xfId="0" applyNumberFormat="1" applyFont="1" applyFill="1" applyBorder="1"/>
    <x:xf numFmtId="0" fontId="11" fillId="8" borderId="0" xfId="0" applyNumberFormat="1" applyFont="1" applyFill="1" applyBorder="1"/>
    <x:xf numFmtId="0" fontId="11" fillId="8" borderId="0" xfId="0" applyNumberFormat="1" applyFont="1" applyFill="1" applyBorder="1" applyAlignment="1">
      <x:alignment vertical="center"/>
    </x:xf>
    <x:xf numFmtId="0" fontId="12" fillId="0" borderId="0" xfId="0" applyNumberFormat="1" applyFont="1" applyFill="1" applyBorder="1"/>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0" fontId="12" fillId="0" borderId="6" xfId="0" applyNumberFormat="1" applyFont="1" applyFill="1" applyBorder="1" applyAlignment="1">
      <x:alignment vertical="top" wrapText="1"/>
    </x:xf>
    <x:xf numFmtId="0" fontId="12" fillId="0" borderId="7" xfId="0" applyNumberFormat="1" applyFont="1" applyFill="1" applyBorder="1" applyAlignment="1">
      <x:alignment vertical="top" wrapText="1"/>
    </x:xf>
    <x:xf numFmtId="0" fontId="12" fillId="0" borderId="5" xfId="0" applyNumberFormat="1" applyFont="1" applyFill="1" applyBorder="1" applyAlignment="1">
      <x:alignment vertical="top" wrapText="1"/>
    </x:xf>
    <x:xf numFmtId="0" fontId="12" fillId="0" borderId="2" xfId="0" applyNumberFormat="1" applyFont="1" applyFill="1" applyBorder="1" applyAlignment="1">
      <x:alignment vertical="top" wrapText="1"/>
    </x:xf>
    <x:xf numFmtId="0" fontId="12" fillId="0" borderId="8" xfId="0" applyNumberFormat="1" applyFont="1" applyFill="1" applyBorder="1" applyAlignment="1">
      <x:alignment vertical="top" wrapText="1"/>
    </x:xf>
    <x:xf numFmtId="0" fontId="12" fillId="0" borderId="1" xfId="0" applyNumberFormat="1" applyFont="1" applyFill="1" applyBorder="1" applyAlignment="1">
      <x:alignment vertical="top" wrapText="1"/>
    </x:xf>
    <x:xf numFmtId="0" fontId="12" fillId="0" borderId="4" xfId="0" applyNumberFormat="1" applyFont="1" applyFill="1" applyBorder="1" applyAlignment="1">
      <x:alignment vertical="top" wrapText="1"/>
    </x:xf>
    <x:xf numFmtId="0" fontId="12" fillId="0" borderId="9" xfId="0" applyNumberFormat="1" applyFont="1" applyFill="1" applyBorder="1" applyAlignment="1">
      <x:alignment vertical="top" wrapText="1"/>
    </x:xf>
    <x:xf numFmtId="0" fontId="12" fillId="0" borderId="3" xfId="0" applyNumberFormat="1" applyFont="1" applyFill="1" applyBorder="1" applyAlignment="1">
      <x:alignment vertical="top" wrapText="1"/>
    </x:xf>
    <x:xf numFmtId="0" fontId="12" fillId="9" borderId="0" xfId="0" applyNumberFormat="1" applyFont="1" applyFill="1" applyBorder="1" applyAlignment="1">
      <x:alignment vertical="top" wrapText="1"/>
    </x:xf>
    <x:xf numFmtId="0" fontId="12" fillId="9" borderId="3" xfId="0" applyNumberFormat="1" applyFont="1" applyFill="1" applyBorder="1" applyAlignment="1">
      <x:alignment vertical="top" wrapText="1"/>
    </x:xf>
    <x:xf numFmtId="0" fontId="12" fillId="9" borderId="10" xfId="0" applyNumberFormat="1" applyFont="1" applyFill="1" applyBorder="1" applyAlignment="1">
      <x:alignment vertical="top" wrapText="1"/>
    </x:xf>
    <x:xf numFmtId="0" fontId="12" fillId="9" borderId="4" xfId="0" applyNumberFormat="1" applyFont="1" applyFill="1" applyBorder="1" applyAlignment="1">
      <x:alignment vertical="top" wrapText="1"/>
    </x:xf>
    <x:xf numFmtId="0" fontId="12" fillId="9" borderId="11" xfId="0" applyNumberFormat="1" applyFont="1" applyFill="1" applyBorder="1" applyAlignment="1">
      <x:alignment vertical="top" wrapText="1"/>
    </x:xf>
    <x:xf numFmtId="0" fontId="12" fillId="9" borderId="12" xfId="0" applyNumberFormat="1" applyFont="1" applyFill="1" applyBorder="1" applyAlignment="1">
      <x:alignment vertical="top" wrapText="1"/>
    </x:xf>
    <x:xf numFmtId="0" fontId="12" fillId="9" borderId="5" xfId="0" applyNumberFormat="1" applyFont="1" applyFill="1" applyBorder="1" applyAlignment="1">
      <x:alignment vertical="top" wrapText="1"/>
    </x:xf>
    <x:xf numFmtId="0" fontId="12" fillId="9" borderId="13" xfId="0" applyNumberFormat="1" applyFont="1" applyFill="1" applyBorder="1" applyAlignment="1">
      <x:alignment vertical="top" wrapText="1"/>
    </x:xf>
    <x:xf numFmtId="0" fontId="12" fillId="9" borderId="6" xfId="0" applyNumberFormat="1" applyFont="1" applyFill="1" applyBorder="1" applyAlignment="1">
      <x:alignment vertical="top" wrapText="1"/>
    </x:xf>
    <x:xf numFmtId="0" fontId="13" fillId="2" borderId="0" xfId="0" applyNumberFormat="1" applyFont="1" applyFill="1" applyBorder="1" applyAlignment="1">
      <x:alignment vertical="center"/>
    </x:xf>
    <x:xf numFmtId="0" fontId="14" fillId="0" borderId="0" xfId="0" applyNumberFormat="1" applyFont="1" applyFill="1" applyBorder="1"/>
    <x:xf numFmtId="200" fontId="15" fillId="4" borderId="3" xfId="0" applyNumberFormat="1" applyFont="1" applyFill="1" applyBorder="1" applyAlignment="1">
      <x:alignment horizontal="center" vertical="center"/>
    </x:xf>
    <x:xf numFmtId="200" fontId="15" fillId="4" borderId="4" xfId="0" applyNumberFormat="1" applyFont="1" applyFill="1" applyBorder="1" applyAlignment="1">
      <x:alignment horizontal="center" vertical="center"/>
    </x:xf>
    <x:xf numFmtId="200" fontId="16" fillId="4" borderId="3" xfId="0" applyNumberFormat="1" applyFont="1" applyFill="1" applyBorder="1" applyAlignment="1">
      <x:alignment horizontal="center" vertical="center"/>
    </x:xf>
    <x:xf numFmtId="200" fontId="16" fillId="4" borderId="4" xfId="0" applyNumberFormat="1" applyFont="1" applyFill="1" applyBorder="1" applyAlignment="1">
      <x:alignment horizontal="center" vertical="center"/>
    </x:xf>
    <x:xf numFmtId="200" fontId="17" fillId="4" borderId="3" xfId="0" applyNumberFormat="1" applyFont="1" applyFill="1" applyBorder="1" applyAlignment="1">
      <x:alignment horizontal="center" vertical="center"/>
    </x:xf>
    <x:xf numFmtId="200" fontId="17" fillId="4" borderId="4" xfId="0" applyNumberFormat="1" applyFont="1" applyFill="1" applyBorder="1" applyAlignment="1">
      <x:alignment horizontal="center" vertical="center"/>
    </x:xf>
    <x:xf numFmtId="200" fontId="18" fillId="4" borderId="3" xfId="0" applyNumberFormat="1" applyFont="1" applyFill="1" applyBorder="1" applyAlignment="1">
      <x:alignment horizontal="center" vertical="center"/>
    </x:xf>
    <x:xf numFmtId="200" fontId="18" fillId="4" borderId="4" xfId="0" applyNumberFormat="1" applyFont="1" applyFill="1" applyBorder="1" applyAlignment="1">
      <x:alignment horizontal="center" vertical="center"/>
    </x:xf>
    <x:xf numFmtId="200" fontId="15" fillId="4" borderId="5" xfId="0" applyNumberFormat="1" applyFont="1" applyFill="1" applyBorder="1" applyAlignment="1">
      <x:alignment horizontal="center" vertical="center"/>
    </x:xf>
    <x:xf numFmtId="200" fontId="15" fillId="4" borderId="6" xfId="0" applyNumberFormat="1" applyFont="1" applyFill="1" applyBorder="1" applyAlignment="1">
      <x:alignment horizontal="center" vertical="center"/>
    </x:xf>
    <x:xf numFmtId="200" fontId="16" fillId="4" borderId="5" xfId="0" applyNumberFormat="1" applyFont="1" applyFill="1" applyBorder="1" applyAlignment="1">
      <x:alignment horizontal="center" vertical="center"/>
    </x:xf>
    <x:xf numFmtId="200" fontId="16" fillId="4" borderId="6" xfId="0" applyNumberFormat="1" applyFont="1" applyFill="1" applyBorder="1" applyAlignment="1">
      <x:alignment horizontal="center" vertical="center"/>
    </x:xf>
    <x:xf numFmtId="200" fontId="17" fillId="4" borderId="5" xfId="0" applyNumberFormat="1" applyFont="1" applyFill="1" applyBorder="1" applyAlignment="1">
      <x:alignment horizontal="center" vertical="center"/>
    </x:xf>
    <x:xf numFmtId="200" fontId="17" fillId="4" borderId="6" xfId="0" applyNumberFormat="1" applyFont="1" applyFill="1" applyBorder="1" applyAlignment="1">
      <x:alignment horizontal="center" vertical="center"/>
    </x:xf>
    <x:xf numFmtId="200" fontId="18" fillId="4" borderId="5" xfId="0" applyNumberFormat="1" applyFont="1" applyFill="1" applyBorder="1" applyAlignment="1">
      <x:alignment horizontal="center" vertical="center"/>
    </x:xf>
    <x:xf numFmtId="200" fontId="18" fillId="4" borderId="6" xfId="0" applyNumberFormat="1" applyFont="1" applyFill="1" applyBorder="1" applyAlignment="1">
      <x:alignment horizontal="center" vertical="center"/>
    </x:xf>
    <x:xf numFmtId="0" fontId="19" fillId="2" borderId="0" xfId="0" applyNumberFormat="1" applyFont="1" applyFill="1" applyBorder="1"/>
    <x:xf numFmtId="0" fontId="19" fillId="2" borderId="1" xfId="0" applyNumberFormat="1" applyFont="1" applyFill="1" applyBorder="1"/>
    <x:xf numFmtId="0" fontId="19" fillId="2" borderId="14" xfId="0" applyNumberFormat="1" applyFont="1" applyFill="1" applyBorder="1"/>
    <x:xf numFmtId="0" fontId="19" fillId="2" borderId="2" xfId="0" applyNumberFormat="1" applyFont="1" applyFill="1" applyBorder="1"/>
    <x:xf numFmtId="0" fontId="19" fillId="2" borderId="1" xfId="0" applyNumberFormat="1" applyFont="1" applyFill="1" applyBorder="1" applyAlignment="1">
      <x:alignment wrapText="1"/>
    </x:xf>
    <x:xf numFmtId="0" fontId="19" fillId="2" borderId="14" xfId="0" applyNumberFormat="1" applyFont="1" applyFill="1" applyBorder="1" applyAlignment="1">
      <x:alignment wrapText="1"/>
    </x:xf>
    <x:xf numFmtId="0" fontId="19" fillId="2" borderId="2" xfId="0" applyNumberFormat="1" applyFont="1" applyFill="1" applyBorder="1" applyAlignment="1">
      <x:alignment wrapText="1"/>
    </x:xf>
    <x:xf numFmtId="0" fontId="19" fillId="2" borderId="1" xfId="0" applyNumberFormat="1" applyFont="1" applyFill="1" applyBorder="1" applyAlignment="1">
      <x:alignment horizontal="left" wrapText="1"/>
    </x:xf>
    <x:xf numFmtId="0" fontId="19" fillId="2" borderId="14" xfId="0" applyNumberFormat="1" applyFont="1" applyFill="1" applyBorder="1" applyAlignment="1">
      <x:alignment horizontal="left" wrapText="1"/>
    </x:xf>
    <x:xf numFmtId="0" fontId="19" fillId="2" borderId="2" xfId="0" applyNumberFormat="1" applyFont="1" applyFill="1" applyBorder="1" applyAlignment="1">
      <x:alignment horizontal="left" wrapText="1"/>
    </x:xf>
    <x:xf numFmtId="0" fontId="19" fillId="2" borderId="1" xfId="0" applyNumberFormat="1" applyFont="1" applyFill="1" applyBorder="1" applyAlignment="1">
      <x:alignment horizontal="left" vertical="center" wrapText="1"/>
    </x:xf>
    <x:xf numFmtId="0" fontId="19" fillId="2" borderId="14" xfId="0" applyNumberFormat="1" applyFont="1" applyFill="1" applyBorder="1" applyAlignment="1">
      <x:alignment horizontal="left" vertical="center" wrapText="1"/>
    </x:xf>
    <x:xf numFmtId="0" fontId="19" fillId="2" borderId="2" xfId="0" applyNumberFormat="1" applyFont="1" applyFill="1" applyBorder="1" applyAlignment="1">
      <x:alignment horizontal="left" vertical="center" wrapText="1"/>
    </x:xf>
    <x:xf numFmtId="201" fontId="12" fillId="0" borderId="0" xfId="0" applyNumberFormat="1" applyFont="1" applyFill="1" applyBorder="1" applyAlignment="1">
      <x:alignment vertical="top" wrapText="1"/>
    </x:xf>
    <x:xf numFmtId="201" fontId="0" fillId="0" borderId="0" xfId="0" applyNumberFormat="1" applyFont="1" applyFill="1" applyBorder="1"/>
    <x:xf numFmtId="201" fontId="14" fillId="0" borderId="0" xfId="0" applyNumberFormat="1" applyFont="1" applyFill="1" applyBorder="1"/>
    <x:xf numFmtId="0" fontId="14" fillId="0" borderId="0" xfId="0" applyNumberFormat="1" applyFont="1" applyFill="1" applyBorder="1" applyAlignment="1">
      <x:alignment wrapText="1"/>
    </x:xf>
    <x:xf numFmtId="201" fontId="14" fillId="0" borderId="0" xfId="0" applyNumberFormat="1" applyFont="1" applyFill="1" applyBorder="1" applyAlignment="1">
      <x:alignment wrapText="1"/>
    </x:xf>
    <x:xf numFmtId="0" fontId="0" fillId="0" borderId="0" xfId="0" applyNumberFormat="1" applyFont="1" applyFill="1" applyBorder="1" applyAlignment="1">
      <x:alignment wrapText="1"/>
    </x:xf>
    <x:xf numFmtId="202" fontId="14" fillId="0" borderId="0" xfId="0" applyNumberFormat="1" applyFont="1" applyFill="1" applyBorder="1"/>
    <x:xf numFmtId="0" fontId="14" fillId="0" borderId="0" xfId="0" applyNumberFormat="1" applyFont="1" applyFill="1" applyBorder="1" applyAlignment="1">
      <x:alignment vertical="top" wrapText="1"/>
    </x:xf>
    <x:xf numFmtId="201" fontId="14" fillId="0" borderId="0" xfId="0" applyNumberFormat="1" applyFont="1" applyFill="1" applyBorder="1" applyAlignment="1">
      <x:alignment vertical="top" wrapText="1"/>
    </x:xf>
    <x:xf numFmtId="202" fontId="14" fillId="0" borderId="0" xfId="0" applyNumberFormat="1" applyFont="1" applyFill="1" applyBorder="1" applyAlignment="1">
      <x:alignment wrapText="1"/>
    </x:xf>
    <x:xf numFmtId="202" fontId="14"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dxfs count="56">
    <x:dxf>
      <x:font>
        <x:b/>
        <x:color rgb="FF176B3A"/>
      </x:font>
      <x:fill>
        <x:patternFill>
          <x:bgColor rgb="FFEAF7EE"/>
        </x:patternFill>
      </x:fill>
    </x:dxf>
    <x:dxf>
      <x:font>
        <x:b/>
        <x:color rgb="FF176B3A"/>
      </x:font>
      <x:fill>
        <x:patternFill>
          <x:bgColor rgb="FFEAF7EE"/>
        </x:patternFill>
      </x:fill>
    </x:dxf>
    <x:dxf>
      <x:font>
        <x:b/>
        <x:color rgb="FF2563EB"/>
      </x:font>
      <x:fill>
        <x:patternFill>
          <x:bgColor rgb="FFEAF2FF"/>
        </x:patternFill>
      </x:fill>
    </x:dxf>
    <x:dxf>
      <x:font>
        <x:b/>
        <x:color rgb="FF8A5A00"/>
      </x:font>
      <x:fill>
        <x:patternFill>
          <x:bgColor rgb="FFFFF6D8"/>
        </x:patternFill>
      </x:fill>
    </x:dxf>
    <x:dxf>
      <x:font>
        <x:b/>
        <x:color rgb="FFB42318"/>
      </x:font>
      <x:fill>
        <x:patternFill>
          <x:bgColor rgb="FFFDECEC"/>
        </x:patternFill>
      </x:fill>
    </x:dxf>
    <x:dxf>
      <x:font>
        <x:b/>
        <x:color rgb="FFB42318"/>
      </x:font>
      <x:fill>
        <x:patternFill>
          <x:bgColor rgb="FFFDECEC"/>
        </x:patternFill>
      </x:fill>
    </x:dxf>
    <x:dxf>
      <x:font>
        <x:color rgb="FF667085"/>
      </x:font>
      <x:fill>
        <x:patternFill>
          <x:bgColor rgb="FFF3F5F7"/>
        </x:patternFill>
      </x:fill>
    </x:dxf>
    <x:dxf>
      <x:font>
        <x:color rgb="FF8A5A00"/>
      </x:font>
      <x:fill>
        <x:patternFill>
          <x:bgColor rgb="FFFFF6D8"/>
        </x:patternFill>
      </x:fill>
    </x:dxf>
    <x:dxf>
      <x:font>
        <x:b/>
        <x:color rgb="FF176B3A"/>
      </x:font>
      <x:fill>
        <x:patternFill>
          <x:bgColor rgb="FFEAF7EE"/>
        </x:patternFill>
      </x:fill>
    </x:dxf>
    <x:dxf>
      <x:font>
        <x:b/>
        <x:color rgb="FF176B3A"/>
      </x:font>
      <x:fill>
        <x:patternFill>
          <x:bgColor rgb="FFEAF7EE"/>
        </x:patternFill>
      </x:fill>
    </x:dxf>
    <x:dxf>
      <x:font>
        <x:b/>
        <x:color rgb="FF2563EB"/>
      </x:font>
      <x:fill>
        <x:patternFill>
          <x:bgColor rgb="FFEAF2FF"/>
        </x:patternFill>
      </x:fill>
    </x:dxf>
    <x:dxf>
      <x:font>
        <x:b/>
        <x:color rgb="FF8A5A00"/>
      </x:font>
      <x:fill>
        <x:patternFill>
          <x:bgColor rgb="FFFFF6D8"/>
        </x:patternFill>
      </x:fill>
    </x:dxf>
    <x:dxf>
      <x:font>
        <x:b/>
        <x:color rgb="FFB42318"/>
      </x:font>
      <x:fill>
        <x:patternFill>
          <x:bgColor rgb="FFFDECEC"/>
        </x:patternFill>
      </x:fill>
    </x:dxf>
    <x:dxf>
      <x:font>
        <x:b/>
        <x:color rgb="FFB42318"/>
      </x:font>
      <x:fill>
        <x:patternFill>
          <x:bgColor rgb="FFFDECEC"/>
        </x:patternFill>
      </x:fill>
    </x:dxf>
    <x:dxf>
      <x:font>
        <x:color rgb="FF667085"/>
      </x:font>
      <x:fill>
        <x:patternFill>
          <x:bgColor rgb="FFF3F5F7"/>
        </x:patternFill>
      </x:fill>
    </x:dxf>
    <x:dxf>
      <x:font>
        <x:color rgb="FF8A5A00"/>
      </x:font>
      <x:fill>
        <x:patternFill>
          <x:bgColor rgb="FFFFF6D8"/>
        </x:patternFill>
      </x:fill>
    </x:dxf>
    <x:dxf>
      <x:font>
        <x:b/>
        <x:color rgb="FF176B3A"/>
      </x:font>
      <x:fill>
        <x:patternFill>
          <x:bgColor rgb="FFEAF7EE"/>
        </x:patternFill>
      </x:fill>
    </x:dxf>
    <x:dxf>
      <x:font>
        <x:b/>
        <x:color rgb="FF176B3A"/>
      </x:font>
      <x:fill>
        <x:patternFill>
          <x:bgColor rgb="FFEAF7EE"/>
        </x:patternFill>
      </x:fill>
    </x:dxf>
    <x:dxf>
      <x:font>
        <x:b/>
        <x:color rgb="FF2563EB"/>
      </x:font>
      <x:fill>
        <x:patternFill>
          <x:bgColor rgb="FFEAF2FF"/>
        </x:patternFill>
      </x:fill>
    </x:dxf>
    <x:dxf>
      <x:font>
        <x:b/>
        <x:color rgb="FF8A5A00"/>
      </x:font>
      <x:fill>
        <x:patternFill>
          <x:bgColor rgb="FFFFF6D8"/>
        </x:patternFill>
      </x:fill>
    </x:dxf>
    <x:dxf>
      <x:font>
        <x:b/>
        <x:color rgb="FFB42318"/>
      </x:font>
      <x:fill>
        <x:patternFill>
          <x:bgColor rgb="FFFDECEC"/>
        </x:patternFill>
      </x:fill>
    </x:dxf>
    <x:dxf>
      <x:font>
        <x:b/>
        <x:color rgb="FFB42318"/>
      </x:font>
      <x:fill>
        <x:patternFill>
          <x:bgColor rgb="FFFDECEC"/>
        </x:patternFill>
      </x:fill>
    </x:dxf>
    <x:dxf>
      <x:font>
        <x:color rgb="FF667085"/>
      </x:font>
      <x:fill>
        <x:patternFill>
          <x:bgColor rgb="FFF3F5F7"/>
        </x:patternFill>
      </x:fill>
    </x:dxf>
    <x:dxf>
      <x:font>
        <x:color rgb="FF8A5A00"/>
      </x:font>
      <x:fill>
        <x:patternFill>
          <x:bgColor rgb="FFFFF6D8"/>
        </x:patternFill>
      </x:fill>
    </x:dxf>
    <x:dxf>
      <x:font>
        <x:b/>
        <x:color rgb="FF176B3A"/>
      </x:font>
      <x:fill>
        <x:patternFill>
          <x:bgColor rgb="FFEAF7EE"/>
        </x:patternFill>
      </x:fill>
    </x:dxf>
    <x:dxf>
      <x:font>
        <x:b/>
        <x:color rgb="FF176B3A"/>
      </x:font>
      <x:fill>
        <x:patternFill>
          <x:bgColor rgb="FFEAF7EE"/>
        </x:patternFill>
      </x:fill>
    </x:dxf>
    <x:dxf>
      <x:font>
        <x:b/>
        <x:color rgb="FF2563EB"/>
      </x:font>
      <x:fill>
        <x:patternFill>
          <x:bgColor rgb="FFEAF2FF"/>
        </x:patternFill>
      </x:fill>
    </x:dxf>
    <x:dxf>
      <x:font>
        <x:b/>
        <x:color rgb="FF8A5A00"/>
      </x:font>
      <x:fill>
        <x:patternFill>
          <x:bgColor rgb="FFFFF6D8"/>
        </x:patternFill>
      </x:fill>
    </x:dxf>
    <x:dxf>
      <x:font>
        <x:b/>
        <x:color rgb="FFB42318"/>
      </x:font>
      <x:fill>
        <x:patternFill>
          <x:bgColor rgb="FFFDECEC"/>
        </x:patternFill>
      </x:fill>
    </x:dxf>
    <x:dxf>
      <x:font>
        <x:b/>
        <x:color rgb="FFB42318"/>
      </x:font>
      <x:fill>
        <x:patternFill>
          <x:bgColor rgb="FFFDECEC"/>
        </x:patternFill>
      </x:fill>
    </x:dxf>
    <x:dxf>
      <x:font>
        <x:color rgb="FF667085"/>
      </x:font>
      <x:fill>
        <x:patternFill>
          <x:bgColor rgb="FFF3F5F7"/>
        </x:patternFill>
      </x:fill>
    </x:dxf>
    <x:dxf>
      <x:font>
        <x:color rgb="FF8A5A00"/>
      </x:font>
      <x:fill>
        <x:patternFill>
          <x:bgColor rgb="FFFFF6D8"/>
        </x:patternFill>
      </x:fill>
    </x:dxf>
    <x:dxf>
      <x:font>
        <x:b/>
        <x:color rgb="FF176B3A"/>
      </x:font>
      <x:fill>
        <x:patternFill>
          <x:bgColor rgb="FFEAF7EE"/>
        </x:patternFill>
      </x:fill>
    </x:dxf>
    <x:dxf>
      <x:font>
        <x:b/>
        <x:color rgb="FF176B3A"/>
      </x:font>
      <x:fill>
        <x:patternFill>
          <x:bgColor rgb="FFEAF7EE"/>
        </x:patternFill>
      </x:fill>
    </x:dxf>
    <x:dxf>
      <x:font>
        <x:b/>
        <x:color rgb="FF2563EB"/>
      </x:font>
      <x:fill>
        <x:patternFill>
          <x:bgColor rgb="FFEAF2FF"/>
        </x:patternFill>
      </x:fill>
    </x:dxf>
    <x:dxf>
      <x:font>
        <x:b/>
        <x:color rgb="FF8A5A00"/>
      </x:font>
      <x:fill>
        <x:patternFill>
          <x:bgColor rgb="FFFFF6D8"/>
        </x:patternFill>
      </x:fill>
    </x:dxf>
    <x:dxf>
      <x:font>
        <x:b/>
        <x:color rgb="FFB42318"/>
      </x:font>
      <x:fill>
        <x:patternFill>
          <x:bgColor rgb="FFFDECEC"/>
        </x:patternFill>
      </x:fill>
    </x:dxf>
    <x:dxf>
      <x:font>
        <x:b/>
        <x:color rgb="FFB42318"/>
      </x:font>
      <x:fill>
        <x:patternFill>
          <x:bgColor rgb="FFFDECEC"/>
        </x:patternFill>
      </x:fill>
    </x:dxf>
    <x:dxf>
      <x:font>
        <x:color rgb="FF667085"/>
      </x:font>
      <x:fill>
        <x:patternFill>
          <x:bgColor rgb="FFF3F5F7"/>
        </x:patternFill>
      </x:fill>
    </x:dxf>
    <x:dxf>
      <x:font>
        <x:color rgb="FF8A5A00"/>
      </x:font>
      <x:fill>
        <x:patternFill>
          <x:bgColor rgb="FFFFF6D8"/>
        </x:patternFill>
      </x:fill>
    </x:dxf>
    <x:dxf>
      <x:font>
        <x:b/>
        <x:color rgb="FF176B3A"/>
      </x:font>
      <x:fill>
        <x:patternFill>
          <x:bgColor rgb="FFEAF7EE"/>
        </x:patternFill>
      </x:fill>
    </x:dxf>
    <x:dxf>
      <x:font>
        <x:b/>
        <x:color rgb="FF176B3A"/>
      </x:font>
      <x:fill>
        <x:patternFill>
          <x:bgColor rgb="FFEAF7EE"/>
        </x:patternFill>
      </x:fill>
    </x:dxf>
    <x:dxf>
      <x:font>
        <x:b/>
        <x:color rgb="FF2563EB"/>
      </x:font>
      <x:fill>
        <x:patternFill>
          <x:bgColor rgb="FFEAF2FF"/>
        </x:patternFill>
      </x:fill>
    </x:dxf>
    <x:dxf>
      <x:font>
        <x:b/>
        <x:color rgb="FF8A5A00"/>
      </x:font>
      <x:fill>
        <x:patternFill>
          <x:bgColor rgb="FFFFF6D8"/>
        </x:patternFill>
      </x:fill>
    </x:dxf>
    <x:dxf>
      <x:font>
        <x:b/>
        <x:color rgb="FFB42318"/>
      </x:font>
      <x:fill>
        <x:patternFill>
          <x:bgColor rgb="FFFDECEC"/>
        </x:patternFill>
      </x:fill>
    </x:dxf>
    <x:dxf>
      <x:font>
        <x:b/>
        <x:color rgb="FFB42318"/>
      </x:font>
      <x:fill>
        <x:patternFill>
          <x:bgColor rgb="FFFDECEC"/>
        </x:patternFill>
      </x:fill>
    </x:dxf>
    <x:dxf>
      <x:font>
        <x:color rgb="FF667085"/>
      </x:font>
      <x:fill>
        <x:patternFill>
          <x:bgColor rgb="FFF3F5F7"/>
        </x:patternFill>
      </x:fill>
    </x:dxf>
    <x:dxf>
      <x:font>
        <x:color rgb="FF8A5A00"/>
      </x:font>
      <x:fill>
        <x:patternFill>
          <x:bgColor rgb="FFFFF6D8"/>
        </x:patternFill>
      </x:fill>
    </x:dxf>
    <x:dxf>
      <x:font>
        <x:b/>
        <x:color rgb="FF176B3A"/>
      </x:font>
      <x:fill>
        <x:patternFill>
          <x:bgColor rgb="FFEAF7EE"/>
        </x:patternFill>
      </x:fill>
    </x:dxf>
    <x:dxf>
      <x:font>
        <x:b/>
        <x:color rgb="FF176B3A"/>
      </x:font>
      <x:fill>
        <x:patternFill>
          <x:bgColor rgb="FFEAF7EE"/>
        </x:patternFill>
      </x:fill>
    </x:dxf>
    <x:dxf>
      <x:font>
        <x:b/>
        <x:color rgb="FF2563EB"/>
      </x:font>
      <x:fill>
        <x:patternFill>
          <x:bgColor rgb="FFEAF2FF"/>
        </x:patternFill>
      </x:fill>
    </x:dxf>
    <x:dxf>
      <x:font>
        <x:b/>
        <x:color rgb="FF8A5A00"/>
      </x:font>
      <x:fill>
        <x:patternFill>
          <x:bgColor rgb="FFFFF6D8"/>
        </x:patternFill>
      </x:fill>
    </x:dxf>
    <x:dxf>
      <x:font>
        <x:b/>
        <x:color rgb="FFB42318"/>
      </x:font>
      <x:fill>
        <x:patternFill>
          <x:bgColor rgb="FFFDECEC"/>
        </x:patternFill>
      </x:fill>
    </x:dxf>
    <x:dxf>
      <x:font>
        <x:b/>
        <x:color rgb="FFB42318"/>
      </x:font>
      <x:fill>
        <x:patternFill>
          <x:bgColor rgb="FFFDECEC"/>
        </x:patternFill>
      </x:fill>
    </x:dxf>
    <x:dxf>
      <x:font>
        <x:color rgb="FF667085"/>
      </x:font>
      <x:fill>
        <x:patternFill>
          <x:bgColor rgb="FFF3F5F7"/>
        </x:patternFill>
      </x:fill>
    </x:dxf>
    <x:dxf>
      <x:font>
        <x:color rgb="FF8A5A00"/>
      </x:font>
      <x:fill>
        <x:patternFill>
          <x:bgColor rgb="FFFFF6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779fd8254c4a86" /><Relationship Type="http://schemas.openxmlformats.org/officeDocument/2006/relationships/theme" Target="/xl/theme/theme1.xml" Id="R34c0138dabd6417e" /><Relationship Type="http://schemas.openxmlformats.org/officeDocument/2006/relationships/sharedStrings" Target="/xl/sharedStrings.xml" Id="Re4a0e880b8554605" /><Relationship Type="http://schemas.openxmlformats.org/officeDocument/2006/relationships/worksheet" Target="/xl/worksheets/sheet1.xml" Id="Re95865165f6842f7" /><Relationship Type="http://schemas.openxmlformats.org/officeDocument/2006/relationships/worksheet" Target="/xl/worksheets/sheet2.xml" Id="R061ac27910204b67" /><Relationship Type="http://schemas.openxmlformats.org/officeDocument/2006/relationships/worksheet" Target="/xl/worksheets/sheet3.xml" Id="Re308fae81fbf4c22" /><Relationship Type="http://schemas.openxmlformats.org/officeDocument/2006/relationships/worksheet" Target="/xl/worksheets/sheet4.xml" Id="R026ec276fc8441c0" /><Relationship Type="http://schemas.openxmlformats.org/officeDocument/2006/relationships/worksheet" Target="/xl/worksheets/sheet5.xml" Id="R07f421a5550f457e" /></Relationships>
</file>

<file path=xl/tables/table1.xml><?xml version="1.0" encoding="utf-8"?>
<x:table xmlns:x="http://schemas.openxmlformats.org/spreadsheetml/2006/main" id="1" name="TaskTrackerTable" displayName="TaskTrackerTable" ref="A5:Q21" headerRowCount="1" totalsRowCount="0" totalsRowShown="0">
  <x:tableColumns count="17">
    <x:tableColumn id="1" name="Task ID"/>
    <x:tableColumn id="2" name="Phase"/>
    <x:tableColumn id="3" name="Goal / Task"/>
    <x:tableColumn id="4" name="Acceptance Criteria"/>
    <x:tableColumn id="5" name="Status"/>
    <x:tableColumn id="6" name="Priority"/>
    <x:tableColumn id="7" name="Owner"/>
    <x:tableColumn id="8" name="Validation Plan"/>
    <x:tableColumn id="9" name="Computer Use"/>
    <x:tableColumn id="10" name="Simulator"/>
    <x:tableColumn id="11" name="Browser"/>
    <x:tableColumn id="12" name="Device Sizes"/>
    <x:tableColumn id="13" name="Evidence / Links"/>
    <x:tableColumn id="14" name="Commit / Push"/>
    <x:tableColumn id="15" name="Blockers"/>
    <x:tableColumn id="16" name="Notes"/>
    <x:tableColumn id="17" name="Last Updated"/>
  </x:tableColumns>
  <x:tableStyleInfo name="TableStyleMedium2" showFirstColumn="0" showLastColumn="0" showRowStripes="1" showColumnStripes="0"/>
</x:table>
</file>

<file path=xl/tables/table2.xml><?xml version="1.0" encoding="utf-8"?>
<x:table xmlns:x="http://schemas.openxmlformats.org/spreadsheetml/2006/main" id="2" name="ActivityLogTable" displayName="ActivityLogTable" ref="A5:N104" headerRowCount="1" totalsRowCount="0" totalsRowShown="0">
  <x:tableColumns count="14">
    <x:tableColumn id="1" name="Log ID"/>
    <x:tableColumn id="2" name="Timestamp"/>
    <x:tableColumn id="3" name="Task ID"/>
    <x:tableColumn id="4" name="Goal / Step"/>
    <x:tableColumn id="5" name="Action Taken"/>
    <x:tableColumn id="6" name="Surface / Tool"/>
    <x:tableColumn id="7" name="Result"/>
    <x:tableColumn id="8" name="Validation Performed"/>
    <x:tableColumn id="9" name="Device / Viewport"/>
    <x:tableColumn id="10" name="Evidence / Link"/>
    <x:tableColumn id="11" name="Commit / Push"/>
    <x:tableColumn id="12" name="Next Step"/>
    <x:tableColumn id="13" name="Status"/>
    <x:tableColumn id="14" name="Notes"/>
  </x:tableColumns>
  <x:tableStyleInfo name="TableStyleMedium2" showFirstColumn="0" showLastColumn="0" showRowStripes="1" showColumnStripes="0"/>
</x:table>
</file>

<file path=xl/tables/table3.xml><?xml version="1.0" encoding="utf-8"?>
<x:table xmlns:x="http://schemas.openxmlformats.org/spreadsheetml/2006/main" id="3" name="QAMatrixTable" displayName="QAMatrixTable" ref="A5:K94" headerRowCount="1" totalsRowCount="0" totalsRowShown="0">
  <x:tableColumns count="11">
    <x:tableColumn id="1" name="QA ID"/>
    <x:tableColumn id="2" name="Device Class"/>
    <x:tableColumn id="3" name="Device / Profile"/>
    <x:tableColumn id="4" name="Viewport"/>
    <x:tableColumn id="5" name="Browser / Platform"/>
    <x:tableColumn id="6" name="Required"/>
    <x:tableColumn id="7" name="Task ID"/>
    <x:tableColumn id="8" name="Status"/>
    <x:tableColumn id="9" name="Checked At"/>
    <x:tableColumn id="10" name="Evidence"/>
    <x:tableColumn id="11" name="Notes"/>
  </x:tableColumns>
  <x:tableStyleInfo name="TableStyleMedium2" showFirstColumn="0" showLastColumn="0" showRowStripes="1" showColumnStripes="0"/>
</x:table>
</file>

<file path=xl/tables/table4.xml><?xml version="1.0" encoding="utf-8"?>
<x:table xmlns:x="http://schemas.openxmlformats.org/spreadsheetml/2006/main" id="4" name="ProductGapsTable" displayName="ProductGapsTable" ref="A5:L22" headerRowCount="1" totalsRowCount="0" totalsRowShown="0">
  <x:tableColumns count="12">
    <x:tableColumn id="1" name="Gap ID"/>
    <x:tableColumn id="2" name="Found During Task"/>
    <x:tableColumn id="3" name="Type"/>
    <x:tableColumn id="4" name="Description"/>
    <x:tableColumn id="5" name="User Impact"/>
    <x:tableColumn id="6" name="Severity"/>
    <x:tableColumn id="7" name="Recommendation"/>
    <x:tableColumn id="8" name="Status"/>
    <x:tableColumn id="9" name="Added as Task ID"/>
    <x:tableColumn id="10" name="Owner"/>
    <x:tableColumn id="11" name="Evidence"/>
    <x:tableColumn id="12"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272a6b6a18e4ad2" /></Relationships>
</file>

<file path=xl/worksheets/_rels/sheet3.xml.rels>&#65279;<?xml version="1.0" encoding="utf-8"?><Relationships xmlns="http://schemas.openxmlformats.org/package/2006/relationships"><Relationship Type="http://schemas.openxmlformats.org/officeDocument/2006/relationships/table" Target="/xl/tables/table2.xml" Id="Rceb10aa6f5c24c1c" /></Relationships>
</file>

<file path=xl/worksheets/_rels/sheet4.xml.rels>&#65279;<?xml version="1.0" encoding="utf-8"?><Relationships xmlns="http://schemas.openxmlformats.org/package/2006/relationships"><Relationship Type="http://schemas.openxmlformats.org/officeDocument/2006/relationships/table" Target="/xl/tables/table3.xml" Id="Rc512b8c00e0440cb" /></Relationships>
</file>

<file path=xl/worksheets/_rels/sheet5.xml.rels>&#65279;<?xml version="1.0" encoding="utf-8"?><Relationships xmlns="http://schemas.openxmlformats.org/package/2006/relationships"><Relationship Type="http://schemas.openxmlformats.org/officeDocument/2006/relationships/table" Target="/xl/tables/table4.xml" Id="R6bccadb115b6483d"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132" t="str">
        <x:v>PestFlow Desktop QA Guardian — Execution Tracker</x:v>
      </x:c>
      <x:c r="B1" s="132" t="str">
        <x:v>Browser Base QA — Project Execution Tracker</x:v>
      </x:c>
      <x:c r="C1" s="132" t="str">
        <x:v>Browser Base QA — Project Execution Tracker</x:v>
      </x:c>
      <x:c r="D1" s="132" t="str">
        <x:v>Browser Base QA — Project Execution Tracker</x:v>
      </x:c>
      <x:c r="E1" s="132" t="str">
        <x:v>Browser Base QA — Project Execution Tracker</x:v>
      </x:c>
      <x:c r="F1" s="132" t="str">
        <x:v>Browser Base QA — Project Execution Tracker</x:v>
      </x:c>
      <x:c r="G1" s="132" t="str">
        <x:v>Browser Base QA — Project Execution Tracker</x:v>
      </x:c>
      <x:c r="H1" s="132" t="str">
        <x:v>Browser Base QA — Project Execution Tracker</x:v>
      </x:c>
    </x:row>
    <x:row r="2" ht="32" customHeight="1">
      <x:c r="A2" s="7" t="str">
        <x:v>Live project tracker for the Browserbase + Stagehand QA system. It records implementation, production verification, failure classification, device coverage, evidence, blockers, and future quality work.</x:v>
      </x:c>
      <x:c r="B2" s="7" t="str">
        <x:v>Preview-only workbook. Use this file to plan tasks, document each meaningful step, validate across tools and device sizes, record evidence, and capture product or design gaps before and during delivery.</x:v>
      </x:c>
      <x:c r="C2" s="7" t="str">
        <x:v>Preview-only workbook. Use this file to plan tasks, document each meaningful step, validate across tools and device sizes, record evidence, and capture product or design gaps before and during delivery.</x:v>
      </x:c>
      <x:c r="D2" s="7" t="str">
        <x:v>Preview-only workbook. Use this file to plan tasks, document each meaningful step, validate across tools and device sizes, record evidence, and capture product or design gaps before and during delivery.</x:v>
      </x:c>
      <x:c r="E2" s="7" t="str">
        <x:v>Preview-only workbook. Use this file to plan tasks, document each meaningful step, validate across tools and device sizes, record evidence, and capture product or design gaps before and during delivery.</x:v>
      </x:c>
      <x:c r="F2" s="7" t="str">
        <x:v>Preview-only workbook. Use this file to plan tasks, document each meaningful step, validate across tools and device sizes, record evidence, and capture product or design gaps before and during delivery.</x:v>
      </x:c>
      <x:c r="G2" s="7" t="str">
        <x:v>Preview-only workbook. Use this file to plan tasks, document each meaningful step, validate across tools and device sizes, record evidence, and capture product or design gaps before and during delivery.</x:v>
      </x:c>
      <x:c r="H2" s="7" t="str">
        <x:v>Preview-only workbook. Use this file to plan tasks, document each meaningful step, validate across tools and device sizes, record evidence, and capture product or design gaps before and during delivery.</x:v>
      </x:c>
    </x:row>
    <x:row r="3">
      <x:c r="A3" s="133"/>
      <x:c r="B3" s="133"/>
      <x:c r="C3" s="133"/>
      <x:c r="D3" s="133"/>
      <x:c r="E3" s="133"/>
      <x:c r="F3" s="133"/>
      <x:c r="G3" s="133"/>
      <x:c r="H3" s="133"/>
    </x:row>
    <x:row r="4">
      <x:c r="A4" s="13" t="str">
        <x:v>TOTAL TASKS</x:v>
      </x:c>
      <x:c r="B4" s="14" t="str">
        <x:v>TOTAL TASKS</x:v>
      </x:c>
      <x:c r="C4" s="39" t="str">
        <x:v>DONE</x:v>
      </x:c>
      <x:c r="D4" s="40" t="str">
        <x:v>DONE</x:v>
      </x:c>
      <x:c r="E4" s="64" t="str">
        <x:v>IN PROGRESS</x:v>
      </x:c>
      <x:c r="F4" s="65" t="str">
        <x:v>IN PROGRESS</x:v>
      </x:c>
      <x:c r="G4" s="89" t="str">
        <x:v>BLOCKED</x:v>
      </x:c>
      <x:c r="H4" s="90" t="str">
        <x:v>BLOCKED</x:v>
      </x:c>
    </x:row>
    <x:row r="5">
      <x:c r="A5" s="134" t="n">
        <x:f>COUNTA('Task Tracker'!$A$6:$A$200)</x:f>
        <x:v>16</x:v>
      </x:c>
      <x:c r="B5" s="135"/>
      <x:c r="C5" s="136" t="n">
        <x:f>COUNTIF('Task Tracker'!$E$6:$E$200,"Done")</x:f>
        <x:v>9</x:v>
      </x:c>
      <x:c r="D5" s="137"/>
      <x:c r="E5" s="138" t="n">
        <x:f>COUNTIF('Task Tracker'!$E$6:$E$200,"In Progress")</x:f>
        <x:v>3</x:v>
      </x:c>
      <x:c r="F5" s="139"/>
      <x:c r="G5" s="140" t="n">
        <x:f>COUNTIF('Task Tracker'!$E$6:$E$200,"Blocked")</x:f>
        <x:v>2</x:v>
      </x:c>
      <x:c r="H5" s="141"/>
    </x:row>
    <x:row r="6">
      <x:c r="A6" s="142"/>
      <x:c r="B6" s="143"/>
      <x:c r="C6" s="144"/>
      <x:c r="D6" s="145"/>
      <x:c r="E6" s="146"/>
      <x:c r="F6" s="147"/>
      <x:c r="G6" s="148"/>
      <x:c r="H6" s="149"/>
    </x:row>
    <x:row r="7">
      <x:c r="A7" s="133"/>
      <x:c r="B7" s="133"/>
      <x:c r="C7" s="133"/>
      <x:c r="D7" s="133"/>
      <x:c r="E7" s="133"/>
      <x:c r="F7" s="133"/>
      <x:c r="G7" s="133"/>
      <x:c r="H7" s="133"/>
    </x:row>
    <x:row r="8">
      <x:c r="A8" s="13" t="str">
        <x:v>QA CHECKS</x:v>
      </x:c>
      <x:c r="B8" s="14" t="str">
        <x:v>QA CHECKS</x:v>
      </x:c>
      <x:c r="C8" s="39" t="str">
        <x:v>QA PASSED</x:v>
      </x:c>
      <x:c r="D8" s="40" t="str">
        <x:v>QA PASSED</x:v>
      </x:c>
      <x:c r="E8" s="89" t="str">
        <x:v>QA FAILED</x:v>
      </x:c>
      <x:c r="F8" s="90" t="str">
        <x:v>QA FAILED</x:v>
      </x:c>
      <x:c r="G8" s="64" t="str">
        <x:v>OPEN GAPS</x:v>
      </x:c>
      <x:c r="H8" s="65" t="str">
        <x:v>OPEN GAPS</x:v>
      </x:c>
    </x:row>
    <x:row r="9">
      <x:c r="A9" s="134" t="n">
        <x:f>COUNTA('QA Matrix'!$A$6:$A$200)</x:f>
        <x:v>89</x:v>
      </x:c>
      <x:c r="B9" s="135"/>
      <x:c r="C9" s="136" t="n">
        <x:f>COUNTIF('QA Matrix'!$H$6:$H$200,"Passed")</x:f>
        <x:v>61</x:v>
      </x:c>
      <x:c r="D9" s="137"/>
      <x:c r="E9" s="140" t="n">
        <x:f>COUNTIF('QA Matrix'!$H$6:$H$200,"Failed")</x:f>
        <x:v>12</x:v>
      </x:c>
      <x:c r="F9" s="141"/>
      <x:c r="G9" s="138" t="n">
        <x:f>COUNTIFS('Product Gaps'!$A$6:$A$200,"&lt;&gt;",'Product Gaps'!$H$6:$H$200,"&lt;&gt;Closed",'Product Gaps'!$H$6:$H$200,"&lt;&gt;Resolved",'Product Gaps'!$H$6:$H$200,"&lt;&gt;Mitigated")</x:f>
        <x:v>12</x:v>
      </x:c>
      <x:c r="H9" s="139"/>
    </x:row>
    <x:row r="10">
      <x:c r="A10" s="142"/>
      <x:c r="B10" s="143"/>
      <x:c r="C10" s="144"/>
      <x:c r="D10" s="145"/>
      <x:c r="E10" s="148"/>
      <x:c r="F10" s="149"/>
      <x:c r="G10" s="146"/>
      <x:c r="H10" s="147"/>
    </x:row>
    <x:row r="11">
      <x:c r="A11" s="133"/>
      <x:c r="B11" s="133"/>
      <x:c r="C11" s="133"/>
      <x:c r="D11" s="133"/>
      <x:c r="E11" s="133"/>
      <x:c r="F11" s="133"/>
      <x:c r="G11" s="133"/>
      <x:c r="H11" s="133"/>
    </x:row>
    <x:row r="12" ht="24" customHeight="1">
      <x:c r="A12" s="110" t="str">
        <x:v>Operating workflow</x:v>
      </x:c>
      <x:c r="B12" s="110" t="str">
        <x:v>Operating workflow</x:v>
      </x:c>
      <x:c r="C12" s="110" t="str">
        <x:v>Operating workflow</x:v>
      </x:c>
      <x:c r="D12" s="110" t="str">
        <x:v>Operating workflow</x:v>
      </x:c>
      <x:c r="E12" s="110" t="str">
        <x:v>Operating workflow</x:v>
      </x:c>
      <x:c r="F12" s="110" t="str">
        <x:v>Operating workflow</x:v>
      </x:c>
      <x:c r="G12" s="110" t="str">
        <x:v>Operating workflow</x:v>
      </x:c>
      <x:c r="H12" s="110" t="str">
        <x:v>Operating workflow</x:v>
      </x:c>
    </x:row>
    <x:row r="13" ht="46" customHeight="1">
      <x:c r="A13" s="114" t="str">
        <x:v>1</x:v>
      </x:c>
      <x:c r="B13" s="115" t="str">
        <x:v>Add or import each project task into Task Tracker.</x:v>
      </x:c>
      <x:c r="C13" s="115" t="str">
        <x:v>2</x:v>
      </x:c>
      <x:c r="D13" s="115" t="str">
        <x:v>Move one task to In Progress and record its goal and acceptance criteria.</x:v>
      </x:c>
      <x:c r="E13" s="115" t="str">
        <x:v>3</x:v>
      </x:c>
      <x:c r="F13" s="115" t="str">
        <x:v>Log each meaningful step in Activity Log as work happens.</x:v>
      </x:c>
      <x:c r="G13" s="115" t="str">
        <x:v>4</x:v>
      </x:c>
      <x:c r="H13" s="116" t="str">
        <x:v>Validate through Computer Use, Simulator, and/or Browser as appropriate.</x:v>
      </x:c>
    </x:row>
    <x:row r="14" ht="46" customHeight="1">
      <x:c r="A14" s="117" t="str">
        <x:v>5</x:v>
      </x:c>
      <x:c r="B14" s="118" t="str">
        <x:v>Run the QA Matrix across required device sizes and record evidence.</x:v>
      </x:c>
      <x:c r="C14" s="118" t="str">
        <x:v>6</x:v>
      </x:c>
      <x:c r="D14" s="118" t="str">
        <x:v>Capture design or product gaps in Product Gaps.</x:v>
      </x:c>
      <x:c r="E14" s="118" t="str">
        <x:v>7</x:v>
      </x:c>
      <x:c r="F14" s="118" t="str">
        <x:v>Convert approved gaps into future Task IDs.</x:v>
      </x:c>
      <x:c r="G14" s="118" t="str">
        <x:v>8</x:v>
      </x:c>
      <x:c r="H14" s="119" t="str">
        <x:v>Commit and push meaningful checkpoints, then record the SHA or link.</x:v>
      </x:c>
    </x:row>
    <x:row r="15" ht="46" customHeight="1">
      <x:c r="A15" s="117" t="str">
        <x:v>9</x:v>
      </x:c>
      <x:c r="B15" s="118" t="str">
        <x:v>Mark a task Done only after acceptance criteria and required checks pass.</x:v>
      </x:c>
      <x:c r="C15" s="118" t="str">
        <x:v>10</x:v>
      </x:c>
      <x:c r="D15" s="118" t="str">
        <x:v>Keep blockers explicit and give each one a next step.</x:v>
      </x:c>
      <x:c r="E15" s="118" t="str">
        <x:v>11</x:v>
      </x:c>
      <x:c r="F15" s="118" t="str">
        <x:v>Update the Overview metrics by maintaining the source tabs.</x:v>
      </x:c>
      <x:c r="G15" s="118" t="str">
        <x:v>12</x:v>
      </x:c>
      <x:c r="H15" s="119" t="str">
        <x:v>Review the Activity Log for a clear audit trail.</x:v>
      </x:c>
    </x:row>
    <x:row r="16" ht="46" customHeight="1">
      <x:c r="A16" s="117" t="str">
        <x:v>Rule</x:v>
      </x:c>
      <x:c r="B16" s="118" t="str">
        <x:v>Track meaningful progress and production evidence, not clicks.</x:v>
      </x:c>
      <x:c r="C16" s="118" t="str">
        <x:v>Rule</x:v>
      </x:c>
      <x:c r="D16" s="118" t="str">
        <x:v>A GitHub push is not proof of a deploy.</x:v>
      </x:c>
      <x:c r="E16" s="118" t="str">
        <x:v>Rule</x:v>
      </x:c>
      <x:c r="F16" s="118" t="str">
        <x:v>Device coverage belongs in both the task and QA Matrix.</x:v>
      </x:c>
      <x:c r="G16" s="118" t="str">
        <x:v>Rule</x:v>
      </x:c>
      <x:c r="H16" s="119" t="str">
        <x:v>Product failures and infrastructure failures stay separate.</x:v>
      </x:c>
    </x:row>
    <x:row r="17" ht="148" customHeight="1">
      <x:c r="A17" s="120" t="str">
        <x:v>Current</x:v>
      </x:c>
      <x:c r="B17" s="121" t="str">
        <x:v>Live owner APIs pass 31/32 and safe lifecycles pass, but current production accepts both tested cross-company operational writes (200/200).</x:v>
      </x:c>
      <x:c r="C17" s="121" t="str">
        <x:v>Repositories</x:v>
      </x:c>
      <x:c r="D17" s="121" t="str">
        <x:v>PestFlow PR #89 @ cad0544; Browser-Base-QA @ 343a154 shared with yawbtng; complete 522-line PRD synchronized.</x:v>
      </x:c>
      <x:c r="E17" s="121" t="str">
        <x:v>Activation</x:v>
      </x:c>
      <x:c r="F17" s="121" t="str">
        <x:v>Restore Actions; deploy cad0544; prove exact-SHA 32/32 APIs, 81/81 routes, and operational tenant isolation 404/404.</x:v>
      </x:c>
      <x:c r="G17" s="121" t="str">
        <x:v>Review</x:v>
      </x:c>
      <x:c r="H17" s="122" t="str">
        <x:v>Draft PR mergeable/unstable; run 29212212813 was zero-step billing blocked, while full local branch gates passed.</x:v>
      </x:c>
    </x:row>
    <x:row r="18">
      <x:c r="A18" s="133"/>
      <x:c r="B18" s="133"/>
      <x:c r="C18" s="133"/>
      <x:c r="D18" s="133"/>
      <x:c r="E18" s="133"/>
      <x:c r="F18" s="133"/>
      <x:c r="G18" s="133"/>
      <x:c r="H18" s="133"/>
    </x:row>
    <x:row r="19" ht="24" customHeight="1">
      <x:c r="A19" s="110" t="str">
        <x:v>Definition of done</x:v>
      </x:c>
      <x:c r="B19" s="110" t="str">
        <x:v>Definition of done</x:v>
      </x:c>
      <x:c r="C19" s="110" t="str">
        <x:v>Definition of done</x:v>
      </x:c>
      <x:c r="D19" s="110" t="str">
        <x:v>Definition of done</x:v>
      </x:c>
      <x:c r="E19" s="110" t="str">
        <x:v>Definition of done</x:v>
      </x:c>
      <x:c r="F19" s="110" t="str">
        <x:v>Definition of done</x:v>
      </x:c>
      <x:c r="G19" s="110" t="str">
        <x:v>Definition of done</x:v>
      </x:c>
      <x:c r="H19" s="110" t="str">
        <x:v>Definition of done</x:v>
      </x:c>
    </x:row>
    <x:row r="20" ht="42" customHeight="1">
      <x:c r="A20" s="114" t="str">
        <x:v>✓</x:v>
      </x:c>
      <x:c r="B20" s="115" t="str">
        <x:v>Acceptance criteria are satisfied.</x:v>
      </x:c>
      <x:c r="C20" s="115" t="str">
        <x:v>✓</x:v>
      </x:c>
      <x:c r="D20" s="115" t="str">
        <x:v>Required Computer Use, Simulator, or Browser checks are complete.</x:v>
      </x:c>
      <x:c r="E20" s="115" t="str">
        <x:v>✓</x:v>
      </x:c>
      <x:c r="F20" s="115" t="str">
        <x:v>Required device sizes are checked.</x:v>
      </x:c>
      <x:c r="G20" s="115" t="str">
        <x:v>✓</x:v>
      </x:c>
      <x:c r="H20" s="116" t="str">
        <x:v>Evidence or review links are recorded.</x:v>
      </x:c>
    </x:row>
    <x:row r="21" ht="42" customHeight="1">
      <x:c r="A21" s="117" t="str">
        <x:v>✓</x:v>
      </x:c>
      <x:c r="B21" s="118" t="str">
        <x:v>No unresolved critical regression remains.</x:v>
      </x:c>
      <x:c r="C21" s="118" t="str">
        <x:v>✓</x:v>
      </x:c>
      <x:c r="D21" s="118" t="str">
        <x:v>New product/design gaps are logged.</x:v>
      </x:c>
      <x:c r="E21" s="118" t="str">
        <x:v>✓</x:v>
      </x:c>
      <x:c r="F21" s="118" t="str">
        <x:v>Activity Log reflects the meaningful path to completion.</x:v>
      </x:c>
      <x:c r="G21" s="118" t="str">
        <x:v>✓</x:v>
      </x:c>
      <x:c r="H21" s="119" t="str">
        <x:v>Commit/push reference is recorded when code changes exist.</x:v>
      </x:c>
    </x:row>
    <x:row r="22" ht="42" customHeight="1">
      <x:c r="A22" s="117" t="str">
        <x:v>✓</x:v>
      </x:c>
      <x:c r="B22" s="118" t="str">
        <x:v>Status, owner, blockers, and last update are current.</x:v>
      </x:c>
      <x:c r="C22" s="118" t="str">
        <x:v>✓</x:v>
      </x:c>
      <x:c r="D22" s="118" t="str">
        <x:v>Failures include a next step.</x:v>
      </x:c>
      <x:c r="E22" s="118" t="str">
        <x:v>✓</x:v>
      </x:c>
      <x:c r="F22" s="118" t="str">
        <x:v>QA results are tied to a Task ID.</x:v>
      </x:c>
      <x:c r="G22" s="118" t="str">
        <x:v>✓</x:v>
      </x:c>
      <x:c r="H22" s="119" t="str">
        <x:v>The reviewer can understand what changed and why.</x:v>
      </x:c>
    </x:row>
    <x:row r="23" ht="62" customHeight="1">
      <x:c r="A23" s="117" t="str">
        <x:v>Note</x:v>
      </x:c>
      <x:c r="B23" s="118" t="str">
        <x:v>Original critical workflows are green; live owner evidence remains red at 31/32 APIs and 69/78 historical routes until the reviewed fixes deploy.</x:v>
      </x:c>
      <x:c r="C23" s="118" t="str">
        <x:v>Note</x:v>
      </x:c>
      <x:c r="D23" s="118" t="str">
        <x:v>Stagehand live sessions wait on Browserbase configuration.</x:v>
      </x:c>
      <x:c r="E23" s="118" t="str">
        <x:v>Note</x:v>
      </x:c>
      <x:c r="F23" s="118" t="str">
        <x:v>Future tasks come from validated gaps.</x:v>
      </x:c>
      <x:c r="G23" s="118" t="str">
        <x:v>Note</x:v>
      </x:c>
      <x:c r="H23" s="119" t="str">
        <x:v>Repo-wide lint debt is recorded separately from this change.</x:v>
      </x:c>
    </x:row>
    <x:row r="24" ht="78" customHeight="1">
      <x:c r="A24" s="120" t="str">
        <x:v>Ready</x:v>
      </x:c>
      <x:c r="B24" s="121" t="str">
        <x:v>Risk-based candidate and scheduled workflows are defined.</x:v>
      </x:c>
      <x:c r="C24" s="121" t="str">
        <x:v>Sequence</x:v>
      </x:c>
      <x:c r="D24" s="121" t="str">
        <x:v>Select risk → Build → Deploy candidate → Deterministic QA → Guardian → Promote.</x:v>
      </x:c>
      <x:c r="E24" s="121" t="str">
        <x:v>Quality</x:v>
      </x:c>
      <x:c r="F24" s="121" t="str">
        <x:v>The evidence policy blocks missing checks and skips.</x:v>
      </x:c>
      <x:c r="G24" s="121" t="str">
        <x:v>Coverage</x:v>
      </x:c>
      <x:c r="H24" s="122" t="str">
        <x:v>1440, 1280, 1024 verified; 1920 remains in nightly Browserbase matrix.</x:v>
      </x:c>
    </x:row>
    <x:row r="25">
      <x:c r="A25" s="133"/>
      <x:c r="B25" s="133"/>
      <x:c r="C25" s="133"/>
      <x:c r="D25" s="133"/>
      <x:c r="E25" s="133"/>
      <x:c r="F25" s="133"/>
      <x:c r="G25" s="133"/>
      <x:c r="H25" s="133"/>
    </x:row>
    <x:row r="26" ht="24" customHeight="1">
      <x:c r="A26" s="110" t="str">
        <x:v>Working prompt — cleaned for repeat use</x:v>
      </x:c>
      <x:c r="B26" s="110" t="str">
        <x:v>Working prompt — cleaned for repeat use</x:v>
      </x:c>
      <x:c r="C26" s="110" t="str">
        <x:v>Working prompt — cleaned for repeat use</x:v>
      </x:c>
      <x:c r="D26" s="110" t="str">
        <x:v>Working prompt — cleaned for repeat use</x:v>
      </x:c>
      <x:c r="E26" s="110" t="str">
        <x:v>Working prompt — cleaned for repeat use</x:v>
      </x:c>
      <x:c r="F26" s="110" t="str">
        <x:v>Working prompt — cleaned for repeat use</x:v>
      </x:c>
      <x:c r="G26" s="110" t="str">
        <x:v>Working prompt — cleaned for repeat use</x:v>
      </x:c>
      <x:c r="H26" s="110" t="str">
        <x:v>Working prompt — cleaned for repeat use</x:v>
      </x:c>
    </x:row>
    <x:row r="27" ht="34" customHeight="1">
      <x:c r="A27" s="124" t="str">
        <x:v>Systematically complete and knock tasks off the tracker. Verify work through Computer Use, Simulator, and/or Browser, and record the device sizes checked.</x:v>
      </x:c>
      <x:c r="B27" s="125"/>
      <x:c r="C27" s="125"/>
      <x:c r="D27" s="125"/>
      <x:c r="E27" s="125"/>
      <x:c r="F27" s="125"/>
      <x:c r="G27" s="125"/>
      <x:c r="H27" s="126"/>
    </x:row>
    <x:row r="28" ht="34" customHeight="1">
      <x:c r="A28" s="127" t="str">
        <x:v>The goal is to complete tracker tasks with proper validation, thoughtful product judgment, and sound software mechanisms.</x:v>
      </x:c>
      <x:c r="B28" s="123"/>
      <x:c r="C28" s="123"/>
      <x:c r="D28" s="123"/>
      <x:c r="E28" s="123"/>
      <x:c r="F28" s="123"/>
      <x:c r="G28" s="123"/>
      <x:c r="H28" s="128"/>
    </x:row>
    <x:row r="29" ht="34" customHeight="1">
      <x:c r="A29" s="127" t="str">
        <x:v>As tasks are completed, record other design and product gaps, then add appropriate future tasks to the tracker.</x:v>
      </x:c>
      <x:c r="B29" s="123"/>
      <x:c r="C29" s="123"/>
      <x:c r="D29" s="123"/>
      <x:c r="E29" s="123"/>
      <x:c r="F29" s="123"/>
      <x:c r="G29" s="123"/>
      <x:c r="H29" s="128"/>
    </x:row>
    <x:row r="30" ht="34" customHeight="1">
      <x:c r="A30" s="127" t="str">
        <x:v>Update the Task Tracker, Activity Log, QA Matrix, and Product Gaps tabs while work is happening. Record commits and pushes at meaningful checkpoints.</x:v>
      </x:c>
      <x:c r="B30" s="123"/>
      <x:c r="C30" s="123"/>
      <x:c r="D30" s="123"/>
      <x:c r="E30" s="123"/>
      <x:c r="F30" s="123"/>
      <x:c r="G30" s="123"/>
      <x:c r="H30" s="128"/>
    </x:row>
    <x:row r="31" ht="34" customHeight="1">
      <x:c r="A31" s="129" t="str">
        <x:v>Tracker path: /Users/trevorgicheru/Library/Mobile Documents/com~apple~CloudDocs/Downloads/outputs/browser-base-qa-tracker-preview/Browser-Base-QA-Activity-Tracker.xlsx. Code worktree: /private/tmp/pestflow-desktop-qa-guardian.</x:v>
      </x:c>
      <x:c r="B31" s="130"/>
      <x:c r="C31" s="130"/>
      <x:c r="D31" s="130"/>
      <x:c r="E31" s="130"/>
      <x:c r="F31" s="130"/>
      <x:c r="G31" s="130"/>
      <x:c r="H31" s="131"/>
    </x:row>
  </x:sheetData>
  <x:mergeCells>
    <x:mergeCell ref="A1:H1"/>
    <x:mergeCell ref="A2:H2"/>
    <x:mergeCell ref="A4:B4"/>
    <x:mergeCell ref="A5:B6"/>
    <x:mergeCell ref="C4:D4"/>
    <x:mergeCell ref="C5:D6"/>
    <x:mergeCell ref="E4:F4"/>
    <x:mergeCell ref="E5:F6"/>
    <x:mergeCell ref="G4:H4"/>
    <x:mergeCell ref="G5:H6"/>
    <x:mergeCell ref="A8:B8"/>
    <x:mergeCell ref="A9:B10"/>
    <x:mergeCell ref="C8:D8"/>
    <x:mergeCell ref="C9:D10"/>
    <x:mergeCell ref="E8:F8"/>
    <x:mergeCell ref="E9:F10"/>
    <x:mergeCell ref="G8:H8"/>
    <x:mergeCell ref="G9:H10"/>
    <x:mergeCell ref="A12:H12"/>
    <x:mergeCell ref="A19:H19"/>
    <x:mergeCell ref="A26:H26"/>
    <x:mergeCell ref="A27:H27"/>
    <x:mergeCell ref="A28:H28"/>
    <x:mergeCell ref="A29:H29"/>
    <x:mergeCell ref="A30:H30"/>
    <x:mergeCell ref="A31:H3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3" hidden="0" customWidth="1"/>
    <x:col min="3" max="3" width="28" hidden="0" customWidth="1"/>
    <x:col min="4" max="4" width="34" hidden="0" customWidth="1"/>
    <x:col min="5" max="5" width="15" hidden="0" customWidth="1"/>
    <x:col min="6" max="6" width="11" hidden="0" customWidth="1"/>
    <x:col min="7" max="7" width="16" hidden="0" customWidth="1"/>
    <x:col min="8" max="8" width="28" hidden="0" customWidth="1"/>
    <x:col min="9" max="9" width="14" hidden="0" customWidth="1"/>
    <x:col min="10" max="10" width="13" hidden="0" customWidth="1"/>
    <x:col min="11" max="11" width="12" hidden="0" customWidth="1"/>
    <x:col min="12" max="12" width="24" hidden="0" customWidth="1"/>
    <x:col min="13" max="13" width="28" hidden="0" customWidth="1"/>
    <x:col min="14" max="14" width="22" hidden="0" customWidth="1"/>
    <x:col min="15" max="15" width="25" hidden="0" customWidth="1"/>
    <x:col min="16" max="16" width="28" hidden="0" customWidth="1"/>
    <x:col min="17" max="17" width="19" hidden="0" customWidth="1"/>
  </x:cols>
  <x:sheetData>
    <x:row r="1" ht="34" customHeight="1">
      <x:c r="A1" s="132" t="str">
        <x:v>Task Tracker</x:v>
      </x:c>
      <x:c r="B1" s="132" t="str">
        <x:v>Task Tracker</x:v>
      </x:c>
      <x:c r="C1" s="132" t="str">
        <x:v>Task Tracker</x:v>
      </x:c>
      <x:c r="D1" s="132" t="str">
        <x:v>Task Tracker</x:v>
      </x:c>
      <x:c r="E1" s="132" t="str">
        <x:v>Task Tracker</x:v>
      </x:c>
      <x:c r="F1" s="132" t="str">
        <x:v>Task Tracker</x:v>
      </x:c>
      <x:c r="G1" s="132" t="str">
        <x:v>Task Tracker</x:v>
      </x:c>
      <x:c r="H1" s="132" t="str">
        <x:v>Task Tracker</x:v>
      </x:c>
      <x:c r="I1" s="132" t="str">
        <x:v>Task Tracker</x:v>
      </x:c>
      <x:c r="J1" s="132" t="str">
        <x:v>Task Tracker</x:v>
      </x:c>
      <x:c r="K1" s="132" t="str">
        <x:v>Task Tracker</x:v>
      </x:c>
      <x:c r="L1" s="132" t="str">
        <x:v>Task Tracker</x:v>
      </x:c>
      <x:c r="M1" s="132" t="str">
        <x:v>Task Tracker</x:v>
      </x:c>
      <x:c r="N1" s="132" t="str">
        <x:v>Task Tracker</x:v>
      </x:c>
      <x:c r="O1" s="132" t="str">
        <x:v>Task Tracker</x:v>
      </x:c>
      <x:c r="P1" s="132" t="str">
        <x:v>Task Tracker</x:v>
      </x:c>
      <x:c r="Q1" s="132" t="str">
        <x:v>Task Tracker</x:v>
      </x:c>
    </x:row>
    <x:row r="2" ht="32" customHeight="1">
      <x:c r="A2" s="7" t="str">
        <x:v>One row per goal-oriented task. Keep acceptance criteria, required validation, device coverage, evidence, blockers, and commit/push references current as work progresses.</x:v>
      </x:c>
      <x:c r="B2" s="7" t="str">
        <x:v>One row per goal-oriented task. Keep acceptance criteria, required validation, device coverage, evidence, blockers, and commit/push references current as work progresses.</x:v>
      </x:c>
      <x:c r="C2" s="7" t="str">
        <x:v>One row per goal-oriented task. Keep acceptance criteria, required validation, device coverage, evidence, blockers, and commit/push references current as work progresses.</x:v>
      </x:c>
      <x:c r="D2" s="7" t="str">
        <x:v>One row per goal-oriented task. Keep acceptance criteria, required validation, device coverage, evidence, blockers, and commit/push references current as work progresses.</x:v>
      </x:c>
      <x:c r="E2" s="7" t="str">
        <x:v>One row per goal-oriented task. Keep acceptance criteria, required validation, device coverage, evidence, blockers, and commit/push references current as work progresses.</x:v>
      </x:c>
      <x:c r="F2" s="7" t="str">
        <x:v>One row per goal-oriented task. Keep acceptance criteria, required validation, device coverage, evidence, blockers, and commit/push references current as work progresses.</x:v>
      </x:c>
      <x:c r="G2" s="7" t="str">
        <x:v>One row per goal-oriented task. Keep acceptance criteria, required validation, device coverage, evidence, blockers, and commit/push references current as work progresses.</x:v>
      </x:c>
      <x:c r="H2" s="7" t="str">
        <x:v>One row per goal-oriented task. Keep acceptance criteria, required validation, device coverage, evidence, blockers, and commit/push references current as work progresses.</x:v>
      </x:c>
      <x:c r="I2" s="7" t="str">
        <x:v>One row per goal-oriented task. Keep acceptance criteria, required validation, device coverage, evidence, blockers, and commit/push references current as work progresses.</x:v>
      </x:c>
      <x:c r="J2" s="7" t="str">
        <x:v>One row per goal-oriented task. Keep acceptance criteria, required validation, device coverage, evidence, blockers, and commit/push references current as work progresses.</x:v>
      </x:c>
      <x:c r="K2" s="7" t="str">
        <x:v>One row per goal-oriented task. Keep acceptance criteria, required validation, device coverage, evidence, blockers, and commit/push references current as work progresses.</x:v>
      </x:c>
      <x:c r="L2" s="7" t="str">
        <x:v>One row per goal-oriented task. Keep acceptance criteria, required validation, device coverage, evidence, blockers, and commit/push references current as work progresses.</x:v>
      </x:c>
      <x:c r="M2" s="7" t="str">
        <x:v>One row per goal-oriented task. Keep acceptance criteria, required validation, device coverage, evidence, blockers, and commit/push references current as work progresses.</x:v>
      </x:c>
      <x:c r="N2" s="7" t="str">
        <x:v>One row per goal-oriented task. Keep acceptance criteria, required validation, device coverage, evidence, blockers, and commit/push references current as work progresses.</x:v>
      </x:c>
      <x:c r="O2" s="7" t="str">
        <x:v>One row per goal-oriented task. Keep acceptance criteria, required validation, device coverage, evidence, blockers, and commit/push references current as work progresses.</x:v>
      </x:c>
      <x:c r="P2" s="7" t="str">
        <x:v>One row per goal-oriented task. Keep acceptance criteria, required validation, device coverage, evidence, blockers, and commit/push references current as work progresses.</x:v>
      </x:c>
      <x:c r="Q2" s="7" t="str">
        <x:v>One row per goal-oriented task. Keep acceptance criteria, required validation, device coverage, evidence, blockers, and commit/push references current as work progresses.</x:v>
      </x:c>
    </x:row>
    <x:row r="3">
      <x:c r="A3" s="133"/>
      <x:c r="B3" s="133"/>
      <x:c r="C3" s="133"/>
      <x:c r="D3" s="133"/>
      <x:c r="E3" s="133"/>
      <x:c r="F3" s="133"/>
      <x:c r="G3" s="133"/>
      <x:c r="H3" s="133"/>
      <x:c r="I3" s="133"/>
      <x:c r="J3" s="133"/>
      <x:c r="K3" s="133"/>
      <x:c r="L3" s="133"/>
      <x:c r="M3" s="133"/>
      <x:c r="N3" s="133"/>
      <x:c r="O3" s="133"/>
      <x:c r="P3" s="133"/>
      <x:c r="Q3" s="133"/>
    </x:row>
    <x:row r="4">
      <x:c r="A4" s="133"/>
      <x:c r="B4" s="133"/>
      <x:c r="C4" s="133"/>
      <x:c r="D4" s="133"/>
      <x:c r="E4" s="133"/>
      <x:c r="F4" s="133"/>
      <x:c r="G4" s="133"/>
      <x:c r="H4" s="133"/>
      <x:c r="I4" s="133"/>
      <x:c r="J4" s="133"/>
      <x:c r="K4" s="133"/>
      <x:c r="L4" s="133"/>
      <x:c r="M4" s="133"/>
      <x:c r="N4" s="133"/>
      <x:c r="O4" s="133"/>
      <x:c r="P4" s="133"/>
      <x:c r="Q4" s="133"/>
    </x:row>
    <x:row r="5" ht="15" hidden="0" customHeight="1">
      <x:c r="A5" s="160" t="str">
        <x:v>Task ID</x:v>
      </x:c>
      <x:c r="B5" s="161" t="str">
        <x:v>Phase</x:v>
      </x:c>
      <x:c r="C5" s="161" t="str">
        <x:v>Goal / Task</x:v>
      </x:c>
      <x:c r="D5" s="161" t="str">
        <x:v>Acceptance Criteria</x:v>
      </x:c>
      <x:c r="E5" s="161" t="str">
        <x:v>Status</x:v>
      </x:c>
      <x:c r="F5" s="161" t="str">
        <x:v>Priority</x:v>
      </x:c>
      <x:c r="G5" s="161" t="str">
        <x:v>Owner</x:v>
      </x:c>
      <x:c r="H5" s="161" t="str">
        <x:v>Validation Plan</x:v>
      </x:c>
      <x:c r="I5" s="161" t="str">
        <x:v>Computer Use</x:v>
      </x:c>
      <x:c r="J5" s="161" t="str">
        <x:v>Simulator</x:v>
      </x:c>
      <x:c r="K5" s="161" t="str">
        <x:v>Browser</x:v>
      </x:c>
      <x:c r="L5" s="161" t="str">
        <x:v>Device Sizes</x:v>
      </x:c>
      <x:c r="M5" s="161" t="str">
        <x:v>Evidence / Links</x:v>
      </x:c>
      <x:c r="N5" s="161" t="str">
        <x:v>Commit / Push</x:v>
      </x:c>
      <x:c r="O5" s="161" t="str">
        <x:v>Blockers</x:v>
      </x:c>
      <x:c r="P5" s="161" t="str">
        <x:v>Notes</x:v>
      </x:c>
      <x:c r="Q5" s="162" t="str">
        <x:v>Last Updated</x:v>
      </x:c>
    </x:row>
    <x:row r="6" ht="60" hidden="0" customHeight="1">
      <x:c r="A6" s="113" t="str">
        <x:v>T-001</x:v>
      </x:c>
      <x:c r="B6" s="113" t="str">
        <x:v>Setup</x:v>
      </x:c>
      <x:c r="C6" s="113" t="str">
        <x:v>Review and approve tracker structure</x:v>
      </x:c>
      <x:c r="D6" s="113" t="str">
        <x:v>Workbook is accepted as the operating tracker and project execution begins.</x:v>
      </x:c>
      <x:c r="E6" s="113" t="str">
        <x:v>Done</x:v>
      </x:c>
      <x:c r="F6" s="113" t="str">
        <x:v>High</x:v>
      </x:c>
      <x:c r="G6" s="113" t="str">
        <x:v>Trevor</x:v>
      </x:c>
      <x:c r="H6" s="113" t="str">
        <x:v>Review every tab and proceed with the real QA scope.</x:v>
      </x:c>
      <x:c r="I6" s="113" t="str">
        <x:v>Passed</x:v>
      </x:c>
      <x:c r="J6" s="113" t="str">
        <x:v>Not Needed</x:v>
      </x:c>
      <x:c r="K6" s="113" t="str">
        <x:v>Passed</x:v>
      </x:c>
      <x:c r="L6" s="113" t="str">
        <x:v>Desktop review</x:v>
      </x:c>
      <x:c r="M6" s="113" t="str">
        <x:v>/Users/trevorgicheru/Library/Mobile Documents/com~apple~CloudDocs/Downloads/outputs/browser-base-qa-tracker-preview/Browser-Base-QA-Activity-Tracker.xlsx</x:v>
      </x:c>
      <x:c r="N6" s="113" t="str">
        <x:v>Tracker created</x:v>
      </x:c>
      <x:c r="O6" s="113"/>
      <x:c r="P6" s="113" t="str">
        <x:v>User proceeded from preview into the PestFlow QA build.</x:v>
      </x:c>
      <x:c r="Q6" s="163" t="n">
        <x:v>46215.27099571759</x:v>
      </x:c>
    </x:row>
    <x:row r="7" ht="36" hidden="0" customHeight="1">
      <x:c r="A7" s="113" t="str">
        <x:v>T-002</x:v>
      </x:c>
      <x:c r="B7" s="113" t="str">
        <x:v>Planning</x:v>
      </x:c>
      <x:c r="C7" s="113" t="str">
        <x:v>Audit current QA stack and production failure modes</x:v>
      </x:c>
      <x:c r="D7" s="113" t="str">
        <x:v>Existing workflows, deterministic suites, false-red causes, and handoff behavior are documented from live evidence.</x:v>
      </x:c>
      <x:c r="E7" s="113" t="str">
        <x:v>Done</x:v>
      </x:c>
      <x:c r="F7" s="113" t="str">
        <x:v>Critical</x:v>
      </x:c>
      <x:c r="G7" s="113" t="str">
        <x:v>Codex</x:v>
      </x:c>
      <x:c r="H7" s="113" t="str">
        <x:v>Inspect origin/main, workflow definitions, recent Actions evidence, and production test boundaries.</x:v>
      </x:c>
      <x:c r="I7" s="113" t="str">
        <x:v>Passed</x:v>
      </x:c>
      <x:c r="J7" s="113" t="str">
        <x:v>Not Needed</x:v>
      </x:c>
      <x:c r="K7" s="113" t="str">
        <x:v>Passed</x:v>
      </x:c>
      <x:c r="L7" s="113" t="str">
        <x:v>Desktop</x:v>
      </x:c>
      <x:c r="M7" s="113" t="str">
        <x:v>/private/tmp/pestflow-desktop-qa-guardian/docs/qa-guardian.md</x:v>
      </x:c>
      <x:c r="N7" s="113" t="str">
        <x:v>codex/desktop-qa-guardian</x:v>
      </x:c>
      <x:c r="O7" s="113"/>
      <x:c r="P7" s="113" t="str">
        <x:v>Artifact-quota-only failures were creating misleading red workflows.</x:v>
      </x:c>
      <x:c r="Q7" s="163" t="n">
        <x:v>46215.27099571759</x:v>
      </x:c>
    </x:row>
    <x:row r="8" ht="36" hidden="0" customHeight="1">
      <x:c r="A8" s="113" t="str">
        <x:v>T-003</x:v>
      </x:c>
      <x:c r="B8" s="113" t="str">
        <x:v>Execution</x:v>
      </x:c>
      <x:c r="C8" s="113" t="str">
        <x:v>Build the PestFlow Desktop QA Guardian</x:v>
      </x:c>
      <x:c r="D8" s="113" t="str">
        <x:v>Browserbase/Stagehand runner, registry, safety policy, workflow, evidence, incident handoff, and docs are implemented.</x:v>
      </x:c>
      <x:c r="E8" s="113" t="str">
        <x:v>Done</x:v>
      </x:c>
      <x:c r="F8" s="113" t="str">
        <x:v>Critical</x:v>
      </x:c>
      <x:c r="G8" s="113" t="str">
        <x:v>Codex</x:v>
      </x:c>
      <x:c r="H8" s="113" t="str">
        <x:v>Unit-test registry/policy, dry-run full matrix, parse workflows, load SDK, and build repo.</x:v>
      </x:c>
      <x:c r="I8" s="113" t="str">
        <x:v>Not Needed</x:v>
      </x:c>
      <x:c r="J8" s="113" t="str">
        <x:v>Not Needed</x:v>
      </x:c>
      <x:c r="K8" s="113" t="str">
        <x:v>Passed</x:v>
      </x:c>
      <x:c r="L8" s="113" t="str">
        <x:v>1440, 1280, 1920, 1024 matrix</x:v>
      </x:c>
      <x:c r="M8" s="113" t="str">
        <x:v>/private/tmp/pestflow-desktop-qa-guardian/qa/guardian/desktop-journeys.json</x:v>
      </x:c>
      <x:c r="N8" s="113" t="str">
        <x:v>cad0544 + Browser-Base-QA 343a154; PR #89</x:v>
      </x:c>
      <x:c r="O8" s="113"/>
      <x:c r="P8" s="113" t="str">
        <x:v>The standalone executor, 32 API contracts, tenant-boundary evidence, and complete 522-line PRD are synchronized.</x:v>
      </x:c>
      <x:c r="Q8" s="163" t="n">
        <x:v>46215.27099571759</x:v>
      </x:c>
    </x:row>
    <x:row r="9" ht="39.599998474121094" hidden="0" customHeight="1">
      <x:c r="A9" s="166" t="str">
        <x:v>T-004</x:v>
      </x:c>
      <x:c r="B9" s="166" t="str">
        <x:v>Signal</x:v>
      </x:c>
      <x:c r="C9" s="166" t="str">
        <x:v>Classify failures and eliminate false repair incidents</x:v>
      </x:c>
      <x:c r="D9" s="166" t="str">
        <x:v>Artifact, runner, notification, unknown, and product failures are separated; quota failures cannot open repair PRs.</x:v>
      </x:c>
      <x:c r="E9" s="166" t="str">
        <x:v>Done</x:v>
      </x:c>
      <x:c r="F9" s="166" t="str">
        <x:v>Critical</x:v>
      </x:c>
      <x:c r="G9" s="166" t="str">
        <x:v>Codex</x:v>
      </x:c>
      <x:c r="H9" s="166" t="str">
        <x:v>Run classifier and incident integration tests against quota-only and real product failures.</x:v>
      </x:c>
      <x:c r="I9" s="166" t="str">
        <x:v>Not Needed</x:v>
      </x:c>
      <x:c r="J9" s="166" t="str">
        <x:v>Not Needed</x:v>
      </x:c>
      <x:c r="K9" s="166" t="str">
        <x:v>Passed</x:v>
      </x:c>
      <x:c r="L9" s="166" t="str">
        <x:v>N/A</x:v>
      </x:c>
      <x:c r="M9" s="166" t="str">
        <x:v>/private/tmp/pestflow-desktop-qa-guardian/scripts/lib/qa-failure-classifier.mjs</x:v>
      </x:c>
      <x:c r="N9" s="166" t="str">
        <x:v>codex/desktop-qa-guardian</x:v>
      </x:c>
      <x:c r="O9" s="166"/>
      <x:c r="P9" s="166" t="str">
        <x:v>12 incident/classifier tests pass.</x:v>
      </x:c>
      <x:c r="Q9" s="167" t="n">
        <x:v>46215.27099571759</x:v>
      </x:c>
    </x:row>
    <x:row r="10" ht="39.599998474121094" hidden="0" customHeight="1">
      <x:c r="A10" s="166" t="str">
        <x:v>T-005</x:v>
      </x:c>
      <x:c r="B10" s="166" t="str">
        <x:v>Automation</x:v>
      </x:c>
      <x:c r="C10" s="166" t="str">
        <x:v>Deduplicate repair branches and evidence alerts</x:v>
      </x:c>
      <x:c r="D10" s="166" t="str">
        <x:v>The same failure fingerprint reuses one stable branch/PR and records later occurrences without an alert storm.</x:v>
      </x:c>
      <x:c r="E10" s="166" t="str">
        <x:v>Done</x:v>
      </x:c>
      <x:c r="F10" s="166" t="str">
        <x:v>High</x:v>
      </x:c>
      <x:c r="G10" s="166" t="str">
        <x:v>Codex</x:v>
      </x:c>
      <x:c r="H10" s="166" t="str">
        <x:v>Verify stable fingerprints across run ids, timestamps, and URLs.</x:v>
      </x:c>
      <x:c r="I10" s="166" t="str">
        <x:v>Not Needed</x:v>
      </x:c>
      <x:c r="J10" s="166" t="str">
        <x:v>Not Needed</x:v>
      </x:c>
      <x:c r="K10" s="166" t="str">
        <x:v>Passed</x:v>
      </x:c>
      <x:c r="L10" s="166" t="str">
        <x:v>N/A</x:v>
      </x:c>
      <x:c r="M10" s="166" t="str">
        <x:v>/private/tmp/pestflow-desktop-qa-guardian/.github/workflows/qa-codex-staging-repair.yml</x:v>
      </x:c>
      <x:c r="N10" s="166" t="str">
        <x:v>codex/desktop-qa-guardian</x:v>
      </x:c>
      <x:c r="O10" s="166"/>
      <x:c r="P10" s="166" t="str">
        <x:v>Evidence uploads are best-effort and retained 7 days.</x:v>
      </x:c>
      <x:c r="Q10" s="167" t="n">
        <x:v>46215.27099571759</x:v>
      </x:c>
    </x:row>
    <x:row r="11" ht="39.599998474121094" hidden="0" customHeight="1">
      <x:c r="A11" s="166" t="str">
        <x:v>T-006</x:v>
      </x:c>
      <x:c r="B11" s="166" t="str">
        <x:v>Coverage</x:v>
      </x:c>
      <x:c r="C11" s="166" t="str">
        <x:v>Define semantic desktop journeys and safety policy</x:v>
      </x:c>
      <x:c r="D11" s="166" t="str">
        <x:v>Every static desktop route is covered or explicitly delegated; destructive production actions are forbidden.</x:v>
      </x:c>
      <x:c r="E11" s="166" t="str">
        <x:v>Done</x:v>
      </x:c>
      <x:c r="F11" s="166" t="str">
        <x:v>Critical</x:v>
      </x:c>
      <x:c r="G11" s="166" t="str">
        <x:v>Codex</x:v>
      </x:c>
      <x:c r="H11" s="166" t="str">
        <x:v>Validate registry structure, route coverage, action policy, navigation, and semantic errors.</x:v>
      </x:c>
      <x:c r="I11" s="166" t="str">
        <x:v>Not Needed</x:v>
      </x:c>
      <x:c r="J11" s="166" t="str">
        <x:v>Not Needed</x:v>
      </x:c>
      <x:c r="K11" s="166" t="str">
        <x:v>Passed</x:v>
      </x:c>
      <x:c r="L11" s="166" t="str">
        <x:v>1440, 1280, 1920, 1024</x:v>
      </x:c>
      <x:c r="M11" s="166" t="str">
        <x:v>/private/tmp/pestflow-desktop-qa-guardian/qa/guardian/desktop-journeys.json</x:v>
      </x:c>
      <x:c r="N11" s="166" t="str">
        <x:v>codex/desktop-qa-guardian</x:v>
      </x:c>
      <x:c r="O11" s="166"/>
      <x:c r="P11" s="166" t="str">
        <x:v>Five journeys produce a 12-session full matrix.</x:v>
      </x:c>
      <x:c r="Q11" s="167" t="n">
        <x:v>46215.27099571759</x:v>
      </x:c>
    </x:row>
    <x:row r="12" ht="39.599998474121094" hidden="0" customHeight="1">
      <x:c r="A12" s="166" t="str">
        <x:v>T-007</x:v>
      </x:c>
      <x:c r="B12" s="166" t="str">
        <x:v>Production QA</x:v>
      </x:c>
      <x:c r="C12" s="166" t="str">
        <x:v>Expand deterministic desktop production coverage</x:v>
      </x:c>
      <x:c r="D12" s="166" t="str">
        <x:v>All 32 registered owner APIs and all static owner routes are audited; complete evidence is preserved; the deployed reviewed head passes 32/32 APIs and the current 81-route matrix.</x:v>
      </x:c>
      <x:c r="E12" s="166" t="str">
        <x:v>In Progress</x:v>
      </x:c>
      <x:c r="F12" s="166" t="str">
        <x:v>Critical</x:v>
      </x:c>
      <x:c r="G12" s="166" t="str">
        <x:v>Codex</x:v>
      </x:c>
      <x:c r="H12" s="166" t="str">
        <x:v>Run all 32 authenticated GET contracts, then all 27 routes across 1440, 1280, and 1024; preserve complete failure and cleanup evidence; require 32/32 plus 81/81 after deploy.</x:v>
      </x:c>
      <x:c r="I12" s="166" t="str">
        <x:v>Passed</x:v>
      </x:c>
      <x:c r="J12" s="166" t="str">
        <x:v>Not Needed</x:v>
      </x:c>
      <x:c r="K12" s="166" t="str">
        <x:v>Passed</x:v>
      </x:c>
      <x:c r="L12" s="166" t="str">
        <x:v>Authenticated API; 1440×900; 1280×800; 1024×768</x:v>
      </x:c>
      <x:c r="M12" s="166" t="str">
        <x:v>31/32 live APIs; resource + communications pass; operational tenant isolation fails 200/200</x:v>
      </x:c>
      <x:c r="N12" s="166" t="str">
        <x:v>cad0544; PR #89</x:v>
      </x:c>
      <x:c r="O12" s="166" t="str">
        <x:v>Requires reviewed deploy, 404/404 production rerun, and restored GitHub Actions capacity.</x:v>
      </x:c>
      <x:c r="P12" s="166" t="str">
        <x:v>Current production is not certified: cross-company operational references are accepted. Branch repair and full local gates pass.</x:v>
      </x:c>
      <x:c r="Q12" s="167" t="n">
        <x:v>46215.95486111111</x:v>
      </x:c>
    </x:row>
    <x:row r="13" ht="39.599998474121094" hidden="0" customHeight="1">
      <x:c r="A13" s="166" t="str">
        <x:v>T-008</x:v>
      </x:c>
      <x:c r="B13" s="166" t="str">
        <x:v>Release</x:v>
      </x:c>
      <x:c r="C13" s="166" t="str">
        <x:v>Add change-aware candidate release gate</x:v>
      </x:c>
      <x:c r="D13" s="166" t="str">
        <x:v>Changed files map to exact Guardian journeys and deterministic suites; missing required evidence blocks promotion.</x:v>
      </x:c>
      <x:c r="E13" s="166" t="str">
        <x:v>Done</x:v>
      </x:c>
      <x:c r="F13" s="166" t="str">
        <x:v>Critical</x:v>
      </x:c>
      <x:c r="G13" s="166" t="str">
        <x:v>Codex</x:v>
      </x:c>
      <x:c r="H13" s="166" t="str">
        <x:v>Test file globs, full-blast-radius rules, docs-only selection, and centralized verdict policy.</x:v>
      </x:c>
      <x:c r="I13" s="166" t="str">
        <x:v>Not Needed</x:v>
      </x:c>
      <x:c r="J13" s="166" t="str">
        <x:v>Not Needed</x:v>
      </x:c>
      <x:c r="K13" s="166" t="str">
        <x:v>Passed</x:v>
      </x:c>
      <x:c r="L13" s="166" t="str">
        <x:v>Selected per risk</x:v>
      </x:c>
      <x:c r="M13" s="166" t="str">
        <x:v>/private/tmp/pestflow-desktop-qa-guardian/.github/workflows/desktop-qa-release-gate.yml</x:v>
      </x:c>
      <x:c r="N13" s="166" t="str">
        <x:v>a110f26; PR #89</x:v>
      </x:c>
      <x:c r="O13" s="166"/>
      <x:c r="P13" s="166" t="str">
        <x:v>Release verdict now requires four complete public outcome-oracle rows in addition to selected browser/deterministic evidence.</x:v>
      </x:c>
      <x:c r="Q13" s="167" t="n">
        <x:v>46215.27099571759</x:v>
      </x:c>
    </x:row>
    <x:row r="14" ht="66" hidden="0" customHeight="1">
      <x:c r="A14" s="166" t="str">
        <x:v>T-009</x:v>
      </x:c>
      <x:c r="B14" s="166" t="str">
        <x:v>Verification</x:v>
      </x:c>
      <x:c r="C14" s="166" t="str">
        <x:v>Complete comprehensive QA and publish review branch</x:v>
      </x:c>
      <x:c r="D14" s="166" t="str">
        <x:v>Unit, build, types, focused lint, workflows, production desktop, and tracker are green; commit/push/PR references are recorded.</x:v>
      </x:c>
      <x:c r="E14" s="166" t="str">
        <x:v>Done</x:v>
      </x:c>
      <x:c r="F14" s="166" t="str">
        <x:v>Critical</x:v>
      </x:c>
      <x:c r="G14" s="166" t="str">
        <x:v>Codex</x:v>
      </x:c>
      <x:c r="H14" s="166" t="str">
        <x:v>Run all 742 unit tests, build, tsc, focused lint, workflow parse, production suite, then commit/push.</x:v>
      </x:c>
      <x:c r="I14" s="166" t="str">
        <x:v>Passed</x:v>
      </x:c>
      <x:c r="J14" s="166" t="str">
        <x:v>Not Needed</x:v>
      </x:c>
      <x:c r="K14" s="166" t="str">
        <x:v>Passed</x:v>
      </x:c>
      <x:c r="L14" s="166" t="str">
        <x:v>1440; 1280; 1024</x:v>
      </x:c>
      <x:c r="M14" s="166" t="str">
        <x:v>https://github.com/gicheru214/pestflow-checkout-rebuild/pull/89</x:v>
      </x:c>
      <x:c r="N14" s="166" t="str">
        <x:v>cad0544; PR #89</x:v>
      </x:c>
      <x:c r="O14" s="166"/>
      <x:c r="P14" s="166" t="str">
        <x:v>Latest production tenant test failed 200/200 with complete cleanup; exact-head cloud run 29212212813 was zero-step billing blocked.</x:v>
      </x:c>
      <x:c r="Q14" s="167" t="n">
        <x:v>46215.913194444445</x:v>
      </x:c>
    </x:row>
    <x:row r="15" ht="52.79999923706055" hidden="0" customHeight="1">
      <x:c r="A15" s="166" t="str">
        <x:v>T-010</x:v>
      </x:c>
      <x:c r="B15" s="166" t="str">
        <x:v>Activation</x:v>
      </x:c>
      <x:c r="C15" s="166" t="str">
        <x:v>Configure Browserbase and persistent QA owner context</x:v>
      </x:c>
      <x:c r="D15" s="166" t="str">
        <x:v>GitHub secrets exist and hourly/nightly live Stagehand sessions complete with Browserbase replay evidence.</x:v>
      </x:c>
      <x:c r="E15" s="166" t="str">
        <x:v>Blocked</x:v>
      </x:c>
      <x:c r="F15" s="166" t="str">
        <x:v>Critical</x:v>
      </x:c>
      <x:c r="G15" s="166" t="str">
        <x:v>Trevor</x:v>
      </x:c>
      <x:c r="H15" s="166" t="str">
        <x:v>Add BROWSERBASE_API_KEY, BROWSERBASE_PROJECT_ID, and PESTFLOW_QA_OWNER_CONTEXT_ID, then dispatch tier 0.</x:v>
      </x:c>
      <x:c r="I15" s="166" t="str">
        <x:v>Pending</x:v>
      </x:c>
      <x:c r="J15" s="166" t="str">
        <x:v>Not Needed</x:v>
      </x:c>
      <x:c r="K15" s="166" t="str">
        <x:v>Pending</x:v>
      </x:c>
      <x:c r="L15" s="166" t="str">
        <x:v>1440 first; full matrix nightly</x:v>
      </x:c>
      <x:c r="M15" s="166" t="str">
        <x:v>https://browserbase.com</x:v>
      </x:c>
      <x:c r="N15" s="166"/>
      <x:c r="O15" s="166" t="str">
        <x:v>Browserbase credentials and dedicated PestFlow QA owner context are not available in the local or GitHub environment.</x:v>
      </x:c>
      <x:c r="P15" s="166" t="str">
        <x:v>Authenticated Checkly owner fallback passed at 1366×900; live Stagehand replay/multi-viewport work still requires Browserbase secrets and owner context.</x:v>
      </x:c>
      <x:c r="Q15" s="167" t="n">
        <x:v>46215.27099571759</x:v>
      </x:c>
    </x:row>
    <x:row r="16" ht="39.599998474121094" hidden="0" customHeight="1">
      <x:c r="A16" s="166" t="str">
        <x:v>T-011</x:v>
      </x:c>
      <x:c r="B16" s="166" t="str">
        <x:v>Release</x:v>
      </x:c>
      <x:c r="C16" s="166" t="str">
        <x:v>Wire Guardian gate into deployment promotion and branch protection</x:v>
      </x:c>
      <x:c r="D16" s="166" t="str">
        <x:v>Staging deploy calls the reusable gate and production promotion requires its green result.</x:v>
      </x:c>
      <x:c r="E16" s="166" t="str">
        <x:v>Not Started</x:v>
      </x:c>
      <x:c r="F16" s="166" t="str">
        <x:v>Critical</x:v>
      </x:c>
      <x:c r="G16" s="166" t="str">
        <x:v>Trevor</x:v>
      </x:c>
      <x:c r="H16" s="166" t="str">
        <x:v>Call the reusable candidate gate after Railway deploy with expected_sha and require it before promotion; GitHub branch protection needs a supported plan or public repo.</x:v>
      </x:c>
      <x:c r="I16" s="166" t="str">
        <x:v>Pending</x:v>
      </x:c>
      <x:c r="J16" s="166" t="str">
        <x:v>Not Needed</x:v>
      </x:c>
      <x:c r="K16" s="166" t="str">
        <x:v>Pending</x:v>
      </x:c>
      <x:c r="L16" s="166" t="str">
        <x:v>Risk-selected + full production</x:v>
      </x:c>
      <x:c r="M16" s="166" t="str">
        <x:v>Browser-Base-QA @ 343a154; PR #89 @ cad0544</x:v>
      </x:c>
      <x:c r="N16" s="166" t="str">
        <x:v>Standalone API executor and complete PRD are current; promotion wiring remains pending.</x:v>
      </x:c>
      <x:c r="O16" s="166" t="str">
        <x:v>Needs Browserbase secrets/context, deploy ownership, and restored GitHub Actions capacity.</x:v>
      </x:c>
      <x:c r="P16" s="166" t="str">
        <x:v>Deploy reviewed head, then require 32/32 APIs, 81/81 routes, and operational isolation 404/404 on the exact SHA.</x:v>
      </x:c>
      <x:c r="Q16" s="167" t="n">
        <x:v>46215.27099571759</x:v>
      </x:c>
    </x:row>
    <x:row r="17" ht="52.79999923706055" hidden="0" customHeight="1">
      <x:c r="A17" s="166" t="str">
        <x:v>T-012</x:v>
      </x:c>
      <x:c r="B17" s="166" t="str">
        <x:v>Quality Debt</x:v>
      </x:c>
      <x:c r="C17" s="166" t="str">
        <x:v>Pay down repository-wide lint baseline</x:v>
      </x:c>
      <x:c r="D17" s="166" t="str">
        <x:v>Repo-wide eslint is green or an explicit ratchet prevents new debt while tracked legacy violations decline.</x:v>
      </x:c>
      <x:c r="E17" s="166" t="str">
        <x:v>Not Started</x:v>
      </x:c>
      <x:c r="F17" s="166" t="str">
        <x:v>Medium</x:v>
      </x:c>
      <x:c r="G17" s="166" t="str">
        <x:v>Unassigned</x:v>
      </x:c>
      <x:c r="H17" s="166" t="str">
        <x:v>Start with touched-file lint enforcement, then fix high-risk desktop/runtime violations by domain.</x:v>
      </x:c>
      <x:c r="I17" s="166" t="str">
        <x:v>Not Needed</x:v>
      </x:c>
      <x:c r="J17" s="166" t="str">
        <x:v>Not Needed</x:v>
      </x:c>
      <x:c r="K17" s="166" t="str">
        <x:v>Pending</x:v>
      </x:c>
      <x:c r="L17" s="166" t="str">
        <x:v>N/A</x:v>
      </x:c>
      <x:c r="M17" s="166" t="str">
        <x:v>npm run lint: 613 errors, 49 warnings on origin/main baseline</x:v>
      </x:c>
      <x:c r="N17" s="166"/>
      <x:c r="O17" s="166"/>
      <x:c r="P17" s="166" t="str">
        <x:v>Out of scope for the Guardian implementation; recorded rather than hidden.</x:v>
      </x:c>
      <x:c r="Q17" s="167" t="n">
        <x:v>46215.27099571759</x:v>
      </x:c>
    </x:row>
    <x:row r="18" ht="76" hidden="0" customHeight="1">
      <x:c r="A18" s="170" t="str">
        <x:v>T-013</x:v>
      </x:c>
      <x:c r="B18" s="170" t="str">
        <x:v>Follow-up</x:v>
      </x:c>
      <x:c r="C18" s="170" t="str">
        <x:v>Diagnose mobile field signup Checkly timeout</x:v>
      </x:c>
      <x:c r="D18" s="170" t="str">
        <x:v>The isolated mobile email-signup check reliably reaches onboarding, or a confirmed product regression is fixed with permanent proof.</x:v>
      </x:c>
      <x:c r="E18" s="170" t="str">
        <x:v>Done</x:v>
      </x:c>
      <x:c r="F18" s="170" t="str">
        <x:v>High</x:v>
      </x:c>
      <x:c r="G18" s="170" t="str">
        <x:v>Codex</x:v>
      </x:c>
      <x:c r="H18" s="170" t="str">
        <x:v>Completed: scoped assertions to the active auth flow and proved the live result in an isolated cloud run.</x:v>
      </x:c>
      <x:c r="I18" s="170" t="str">
        <x:v>Passed</x:v>
      </x:c>
      <x:c r="J18" s="170" t="str">
        <x:v>Not Needed</x:v>
      </x:c>
      <x:c r="K18" s="170" t="str">
        <x:v>Pushed</x:v>
      </x:c>
      <x:c r="L18" s="170" t="str">
        <x:v>390×844</x:v>
      </x:c>
      <x:c r="M18" s="170" t="str">
        <x:v>https://github.com/gicheru214/pestflow-checkout-rebuild/actions/runs/29203535900</x:v>
      </x:c>
      <x:c r="N18" s="170" t="str">
        <x:v>325541d; PR #89</x:v>
      </x:c>
      <x:c r="O18" s="170" t="str">
        <x:v>No product repair required; retain active-screen regression coverage.</x:v>
      </x:c>
      <x:c r="P18" s="170" t="str">
        <x:v>Run 29203535900 passed 1/1. Prior failure was hidden DOM text, while the visible flow had already reached auth-role.</x:v>
      </x:c>
      <x:c r="Q18" s="171" t="n">
        <x:v>46215.76180555556</x:v>
      </x:c>
    </x:row>
    <x:row r="19" ht="82" hidden="0" customHeight="1">
      <x:c r="A19" s="170" t="str">
        <x:v>T-014</x:v>
      </x:c>
      <x:c r="B19" s="170" t="str">
        <x:v>Performance Follow-up</x:v>
      </x:c>
      <x:c r="C19" s="170" t="str">
        <x:v>Track and eliminate intermittent Reports route readiness</x:v>
      </x:c>
      <x:c r="D19" s="170" t="str">
        <x:v>Scheduled evidence shows Reports readiness is stable, with no recurring 30-second miss; any repeated miss has a measured root cause and product fix.</x:v>
      </x:c>
      <x:c r="E19" s="170" t="str">
        <x:v>In Progress</x:v>
      </x:c>
      <x:c r="F19" s="170" t="str">
        <x:v>High</x:v>
      </x:c>
      <x:c r="G19" s="170" t="str">
        <x:v>Codex</x:v>
      </x:c>
      <x:c r="H19" s="170" t="str">
        <x:v>Restore GitHub runner access, then execute the expanded 27-path owner proof and complete Checkly catalog at the exact final SHA; inspect route timings and first-party network evidence.</x:v>
      </x:c>
      <x:c r="I19" s="170" t="str">
        <x:v>Passed</x:v>
      </x:c>
      <x:c r="J19" s="170" t="str">
        <x:v>Not Needed</x:v>
      </x:c>
      <x:c r="K19" s="170" t="str">
        <x:v>Blocked</x:v>
      </x:c>
      <x:c r="L19" s="170" t="str">
        <x:v>1366×900 cloud; 1440/1280/1024 local</x:v>
      </x:c>
      <x:c r="M19" s="170" t="str">
        <x:v>44/44 policy; 27-path parity; runs 29210282667 and 29210311515</x:v>
      </x:c>
      <x:c r="N19" s="170" t="str">
        <x:v>b10e176; PR #89</x:v>
      </x:c>
      <x:c r="O19" s="170" t="str">
        <x:v>GitHub Actions payment/spending limit prevents cloud job steps from starting.</x:v>
      </x:c>
      <x:c r="P19" s="170" t="str">
        <x:v>The final head includes Move-In Assistant and requires a 27-route cloud confirmation after runner access returns.</x:v>
      </x:c>
      <x:c r="Q19" s="171" t="n">
        <x:v>46215.82638888889</x:v>
      </x:c>
    </x:row>
    <x:row r="20" ht="104" hidden="0" customHeight="1">
      <x:c r="A20" s="170" t="str">
        <x:v>T-015</x:v>
      </x:c>
      <x:c r="B20" s="170" t="str">
        <x:v>Data hygiene</x:v>
      </x:c>
      <x:c r="C20" s="170" t="str">
        <x:v>Inventory and remove historical QA fixtures</x:v>
      </x:c>
      <x:c r="D20" s="170" t="str">
        <x:v>A DB-authorized preview lists exact reserved-domain user/company counts, approved records are deleted transactionally, post-counts are zero, and no non-QA identity is touched.</x:v>
      </x:c>
      <x:c r="E20" s="170" t="str">
        <x:v>In Progress</x:v>
      </x:c>
      <x:c r="F20" s="170" t="str">
        <x:v>High</x:v>
      </x:c>
      <x:c r="G20" s="170" t="str">
        <x:v>Codex</x:v>
      </x:c>
      <x:c r="H20" s="170" t="str">
        <x:v>Completed read-only production inventory and exact dependency counts. Next: obtain explicit deletion authority, prepare a transaction-limited plan from the approved IDs, preview impact, execute only after approval, and verify post-count zero.</x:v>
      </x:c>
      <x:c r="I20" s="170" t="str">
        <x:v>Passed</x:v>
      </x:c>
      <x:c r="J20" s="170" t="str">
        <x:v>Not Needed</x:v>
      </x:c>
      <x:c r="K20" s="170" t="str">
        <x:v>Pushed</x:v>
      </x:c>
      <x:c r="L20" s="170" t="str">
        <x:v>N/A</x:v>
      </x:c>
      <x:c r="M20" s="170" t="str">
        <x:v>55 users/accounts; 22 companies; 66 sessions; 22 customers/jobs/invoices; readOnly=true</x:v>
      </x:c>
      <x:c r="N20" s="170" t="str">
        <x:v>addd1a6; PR #89</x:v>
      </x:c>
      <x:c r="O20" s="170" t="str">
        <x:v>Requires explicit production historical-data deletion authority.</x:v>
      </x:c>
      <x:c r="P20" s="170" t="str">
        <x:v>Inventory is complete and reproducible. No deletion was attempted and no record values were returned.</x:v>
      </x:c>
      <x:c r="Q20" s="171" t="n">
        <x:v>46215.854166666664</x:v>
      </x:c>
    </x:row>
    <x:row r="21" ht="118" customHeight="1">
      <x:c r="A21" s="170" t="str">
        <x:v>T-016</x:v>
      </x:c>
      <x:c r="B21" s="170" t="str">
        <x:v>Production Fix</x:v>
      </x:c>
      <x:c r="C21" s="170" t="str">
        <x:v>Deploy and certify exhaustive desktop bug fixes</x:v>
      </x:c>
      <x:c r="D21" s="170" t="str">
        <x:v>The reviewed fixes are deployed, all 32 owner API contracts pass, all 27 owner routes pass at 1440×900, 1280×800, and 1024×768, and evidence is tied to the deployed SHA.</x:v>
      </x:c>
      <x:c r="E21" s="170" t="str">
        <x:v>Blocked</x:v>
      </x:c>
      <x:c r="F21" s="170" t="str">
        <x:v>Critical</x:v>
      </x:c>
      <x:c r="G21" s="170" t="str">
        <x:v>Trevor + Codex</x:v>
      </x:c>
      <x:c r="H21" s="170" t="str">
        <x:v>Review and deploy PR #89, verify deployed commit identity, rerun the 32-API contract plus 81-route matrix and public oracles, and require every check before closure.</x:v>
      </x:c>
      <x:c r="I21" s="170" t="str">
        <x:v>Pending</x:v>
      </x:c>
      <x:c r="J21" s="170" t="str">
        <x:v>Not Needed</x:v>
      </x:c>
      <x:c r="K21" s="170" t="str">
        <x:v>Pending</x:v>
      </x:c>
      <x:c r="L21" s="170" t="str">
        <x:v>Authenticated API; 1440×900; 1280×800; 1024×768</x:v>
      </x:c>
      <x:c r="M21" s="170" t="str">
        <x:v>31/32 production APIs; safe lifecycles pass; G-013–G-016; PR #89 @ cad0544</x:v>
      </x:c>
      <x:c r="N21" s="170" t="str">
        <x:v>cad0544; PR #89</x:v>
      </x:c>
      <x:c r="O21" s="170" t="str">
        <x:v>Needs merge/deploy authority, deployed commit identity, production 404/404, and restored Actions capacity.</x:v>
      </x:c>
      <x:c r="P21" s="170" t="str">
        <x:v>Branch proof includes 775 unit tests and the operational tenant repair; current production remains uncertified.</x:v>
      </x:c>
      <x:c r="Q21" s="171" t="n">
        <x:v>46215.95486111111</x:v>
      </x:c>
    </x:row>
    <x:row r="22">
      <x:c r="A22" s="133"/>
      <x:c r="B22" s="133"/>
      <x:c r="C22" s="133"/>
      <x:c r="D22" s="133"/>
      <x:c r="E22" s="133"/>
      <x:c r="F22" s="133"/>
      <x:c r="G22" s="133"/>
      <x:c r="H22" s="133"/>
      <x:c r="I22" s="133"/>
      <x:c r="J22" s="133"/>
      <x:c r="K22" s="133"/>
      <x:c r="L22" s="133"/>
      <x:c r="M22" s="133"/>
      <x:c r="N22" s="133"/>
      <x:c r="O22" s="133"/>
      <x:c r="P22" s="133"/>
      <x:c r="Q22" s="165"/>
    </x:row>
    <x:row r="23">
      <x:c r="A23" s="133"/>
      <x:c r="B23" s="133"/>
      <x:c r="C23" s="133"/>
      <x:c r="D23" s="133"/>
      <x:c r="E23" s="133"/>
      <x:c r="F23" s="133"/>
      <x:c r="G23" s="133"/>
      <x:c r="H23" s="133"/>
      <x:c r="I23" s="133"/>
      <x:c r="J23" s="133"/>
      <x:c r="K23" s="133"/>
      <x:c r="L23" s="133"/>
      <x:c r="M23" s="133"/>
      <x:c r="N23" s="133"/>
      <x:c r="O23" s="133"/>
      <x:c r="P23" s="133"/>
      <x:c r="Q23" s="165"/>
    </x:row>
    <x:row r="24">
      <x:c r="A24" s="133"/>
      <x:c r="B24" s="133"/>
      <x:c r="C24" s="133"/>
      <x:c r="D24" s="133"/>
      <x:c r="E24" s="133"/>
      <x:c r="F24" s="133"/>
      <x:c r="G24" s="133"/>
      <x:c r="H24" s="133"/>
      <x:c r="I24" s="133"/>
      <x:c r="J24" s="133"/>
      <x:c r="K24" s="133"/>
      <x:c r="L24" s="133"/>
      <x:c r="M24" s="133"/>
      <x:c r="N24" s="133"/>
      <x:c r="O24" s="133"/>
      <x:c r="P24" s="133"/>
      <x:c r="Q24" s="165"/>
    </x:row>
    <x:row r="25">
      <x:c r="A25" s="133"/>
      <x:c r="B25" s="133"/>
      <x:c r="C25" s="133"/>
      <x:c r="D25" s="133"/>
      <x:c r="E25" s="133"/>
      <x:c r="F25" s="133"/>
      <x:c r="G25" s="133"/>
      <x:c r="H25" s="133"/>
      <x:c r="I25" s="133"/>
      <x:c r="J25" s="133"/>
      <x:c r="K25" s="133"/>
      <x:c r="L25" s="133"/>
      <x:c r="M25" s="133"/>
      <x:c r="N25" s="133"/>
      <x:c r="O25" s="133"/>
      <x:c r="P25" s="133"/>
      <x:c r="Q25" s="165"/>
    </x:row>
    <x:row r="26">
      <x:c r="A26" s="133"/>
      <x:c r="B26" s="133"/>
      <x:c r="C26" s="133"/>
      <x:c r="D26" s="133"/>
      <x:c r="E26" s="133"/>
      <x:c r="F26" s="133"/>
      <x:c r="G26" s="133"/>
      <x:c r="H26" s="133"/>
      <x:c r="I26" s="133"/>
      <x:c r="J26" s="133"/>
      <x:c r="K26" s="133"/>
      <x:c r="L26" s="133"/>
      <x:c r="M26" s="133"/>
      <x:c r="N26" s="133"/>
      <x:c r="O26" s="133"/>
      <x:c r="P26" s="133"/>
      <x:c r="Q26" s="165"/>
    </x:row>
    <x:row r="27">
      <x:c r="A27" s="133"/>
      <x:c r="B27" s="133"/>
      <x:c r="C27" s="133"/>
      <x:c r="D27" s="133"/>
      <x:c r="E27" s="133"/>
      <x:c r="F27" s="133"/>
      <x:c r="G27" s="133"/>
      <x:c r="H27" s="133"/>
      <x:c r="I27" s="133"/>
      <x:c r="J27" s="133"/>
      <x:c r="K27" s="133"/>
      <x:c r="L27" s="133"/>
      <x:c r="M27" s="133"/>
      <x:c r="N27" s="133"/>
      <x:c r="O27" s="133"/>
      <x:c r="P27" s="133"/>
      <x:c r="Q27" s="165"/>
    </x:row>
    <x:row r="28">
      <x:c r="A28" s="133"/>
      <x:c r="B28" s="133"/>
      <x:c r="C28" s="133"/>
      <x:c r="D28" s="133"/>
      <x:c r="E28" s="133"/>
      <x:c r="F28" s="133"/>
      <x:c r="G28" s="133"/>
      <x:c r="H28" s="133"/>
      <x:c r="I28" s="133"/>
      <x:c r="J28" s="133"/>
      <x:c r="K28" s="133"/>
      <x:c r="L28" s="133"/>
      <x:c r="M28" s="133"/>
      <x:c r="N28" s="133"/>
      <x:c r="O28" s="133"/>
      <x:c r="P28" s="133"/>
      <x:c r="Q28" s="165"/>
    </x:row>
    <x:row r="29">
      <x:c r="A29" s="133"/>
      <x:c r="B29" s="133"/>
      <x:c r="C29" s="133"/>
      <x:c r="D29" s="133"/>
      <x:c r="E29" s="133"/>
      <x:c r="F29" s="133"/>
      <x:c r="G29" s="133"/>
      <x:c r="H29" s="133"/>
      <x:c r="I29" s="133"/>
      <x:c r="J29" s="133"/>
      <x:c r="K29" s="133"/>
      <x:c r="L29" s="133"/>
      <x:c r="M29" s="133"/>
      <x:c r="N29" s="133"/>
      <x:c r="O29" s="133"/>
      <x:c r="P29" s="133"/>
      <x:c r="Q29" s="165"/>
    </x:row>
    <x:row r="30">
      <x:c r="A30" s="133"/>
      <x:c r="B30" s="133"/>
      <x:c r="C30" s="133"/>
      <x:c r="D30" s="133"/>
      <x:c r="E30" s="133"/>
      <x:c r="F30" s="133"/>
      <x:c r="G30" s="133"/>
      <x:c r="H30" s="133"/>
      <x:c r="I30" s="133"/>
      <x:c r="J30" s="133"/>
      <x:c r="K30" s="133"/>
      <x:c r="L30" s="133"/>
      <x:c r="M30" s="133"/>
      <x:c r="N30" s="133"/>
      <x:c r="O30" s="133"/>
      <x:c r="P30" s="133"/>
      <x:c r="Q30" s="165"/>
    </x:row>
    <x:row r="31">
      <x:c r="A31" s="133"/>
      <x:c r="B31" s="133"/>
      <x:c r="C31" s="133"/>
      <x:c r="D31" s="133"/>
      <x:c r="E31" s="133"/>
      <x:c r="F31" s="133"/>
      <x:c r="G31" s="133"/>
      <x:c r="H31" s="133"/>
      <x:c r="I31" s="133"/>
      <x:c r="J31" s="133"/>
      <x:c r="K31" s="133"/>
      <x:c r="L31" s="133"/>
      <x:c r="M31" s="133"/>
      <x:c r="N31" s="133"/>
      <x:c r="O31" s="133"/>
      <x:c r="P31" s="133"/>
      <x:c r="Q31" s="165"/>
    </x:row>
    <x:row r="32">
      <x:c r="A32" s="133"/>
      <x:c r="B32" s="133"/>
      <x:c r="C32" s="133"/>
      <x:c r="D32" s="133"/>
      <x:c r="E32" s="133"/>
      <x:c r="F32" s="133"/>
      <x:c r="G32" s="133"/>
      <x:c r="H32" s="133"/>
      <x:c r="I32" s="133"/>
      <x:c r="J32" s="133"/>
      <x:c r="K32" s="133"/>
      <x:c r="L32" s="133"/>
      <x:c r="M32" s="133"/>
      <x:c r="N32" s="133"/>
      <x:c r="O32" s="133"/>
      <x:c r="P32" s="133"/>
      <x:c r="Q32" s="165"/>
    </x:row>
    <x:row r="33">
      <x:c r="A33" s="133"/>
      <x:c r="B33" s="133"/>
      <x:c r="C33" s="133"/>
      <x:c r="D33" s="133"/>
      <x:c r="E33" s="133"/>
      <x:c r="F33" s="133"/>
      <x:c r="G33" s="133"/>
      <x:c r="H33" s="133"/>
      <x:c r="I33" s="133"/>
      <x:c r="J33" s="133"/>
      <x:c r="K33" s="133"/>
      <x:c r="L33" s="133"/>
      <x:c r="M33" s="133"/>
      <x:c r="N33" s="133"/>
      <x:c r="O33" s="133"/>
      <x:c r="P33" s="133"/>
      <x:c r="Q33" s="165"/>
    </x:row>
    <x:row r="34">
      <x:c r="A34" s="133"/>
      <x:c r="B34" s="133"/>
      <x:c r="C34" s="133"/>
      <x:c r="D34" s="133"/>
      <x:c r="E34" s="133"/>
      <x:c r="F34" s="133"/>
      <x:c r="G34" s="133"/>
      <x:c r="H34" s="133"/>
      <x:c r="I34" s="133"/>
      <x:c r="J34" s="133"/>
      <x:c r="K34" s="133"/>
      <x:c r="L34" s="133"/>
      <x:c r="M34" s="133"/>
      <x:c r="N34" s="133"/>
      <x:c r="O34" s="133"/>
      <x:c r="P34" s="133"/>
      <x:c r="Q34" s="165"/>
    </x:row>
    <x:row r="35">
      <x:c r="A35" s="133"/>
      <x:c r="B35" s="133"/>
      <x:c r="C35" s="133"/>
      <x:c r="D35" s="133"/>
      <x:c r="E35" s="133"/>
      <x:c r="F35" s="133"/>
      <x:c r="G35" s="133"/>
      <x:c r="H35" s="133"/>
      <x:c r="I35" s="133"/>
      <x:c r="J35" s="133"/>
      <x:c r="K35" s="133"/>
      <x:c r="L35" s="133"/>
      <x:c r="M35" s="133"/>
      <x:c r="N35" s="133"/>
      <x:c r="O35" s="133"/>
      <x:c r="P35" s="133"/>
      <x:c r="Q35" s="165"/>
    </x:row>
    <x:row r="36">
      <x:c r="A36" s="133"/>
      <x:c r="B36" s="133"/>
      <x:c r="C36" s="133"/>
      <x:c r="D36" s="133"/>
      <x:c r="E36" s="133"/>
      <x:c r="F36" s="133"/>
      <x:c r="G36" s="133"/>
      <x:c r="H36" s="133"/>
      <x:c r="I36" s="133"/>
      <x:c r="J36" s="133"/>
      <x:c r="K36" s="133"/>
      <x:c r="L36" s="133"/>
      <x:c r="M36" s="133"/>
      <x:c r="N36" s="133"/>
      <x:c r="O36" s="133"/>
      <x:c r="P36" s="133"/>
      <x:c r="Q36" s="165"/>
    </x:row>
    <x:row r="37">
      <x:c r="A37" s="133"/>
      <x:c r="B37" s="133"/>
      <x:c r="C37" s="133"/>
      <x:c r="D37" s="133"/>
      <x:c r="E37" s="133"/>
      <x:c r="F37" s="133"/>
      <x:c r="G37" s="133"/>
      <x:c r="H37" s="133"/>
      <x:c r="I37" s="133"/>
      <x:c r="J37" s="133"/>
      <x:c r="K37" s="133"/>
      <x:c r="L37" s="133"/>
      <x:c r="M37" s="133"/>
      <x:c r="N37" s="133"/>
      <x:c r="O37" s="133"/>
      <x:c r="P37" s="133"/>
      <x:c r="Q37" s="165"/>
    </x:row>
    <x:row r="38">
      <x:c r="A38" s="133"/>
      <x:c r="B38" s="133"/>
      <x:c r="C38" s="133"/>
      <x:c r="D38" s="133"/>
      <x:c r="E38" s="133"/>
      <x:c r="F38" s="133"/>
      <x:c r="G38" s="133"/>
      <x:c r="H38" s="133"/>
      <x:c r="I38" s="133"/>
      <x:c r="J38" s="133"/>
      <x:c r="K38" s="133"/>
      <x:c r="L38" s="133"/>
      <x:c r="M38" s="133"/>
      <x:c r="N38" s="133"/>
      <x:c r="O38" s="133"/>
      <x:c r="P38" s="133"/>
      <x:c r="Q38" s="165"/>
    </x:row>
    <x:row r="39">
      <x:c r="A39" s="133"/>
      <x:c r="B39" s="133"/>
      <x:c r="C39" s="133"/>
      <x:c r="D39" s="133"/>
      <x:c r="E39" s="133"/>
      <x:c r="F39" s="133"/>
      <x:c r="G39" s="133"/>
      <x:c r="H39" s="133"/>
      <x:c r="I39" s="133"/>
      <x:c r="J39" s="133"/>
      <x:c r="K39" s="133"/>
      <x:c r="L39" s="133"/>
      <x:c r="M39" s="133"/>
      <x:c r="N39" s="133"/>
      <x:c r="O39" s="133"/>
      <x:c r="P39" s="133"/>
      <x:c r="Q39" s="165"/>
    </x:row>
    <x:row r="40">
      <x:c r="A40" s="133"/>
      <x:c r="B40" s="133"/>
      <x:c r="C40" s="133"/>
      <x:c r="D40" s="133"/>
      <x:c r="E40" s="133"/>
      <x:c r="F40" s="133"/>
      <x:c r="G40" s="133"/>
      <x:c r="H40" s="133"/>
      <x:c r="I40" s="133"/>
      <x:c r="J40" s="133"/>
      <x:c r="K40" s="133"/>
      <x:c r="L40" s="133"/>
      <x:c r="M40" s="133"/>
      <x:c r="N40" s="133"/>
      <x:c r="O40" s="133"/>
      <x:c r="P40" s="133"/>
      <x:c r="Q40" s="165"/>
    </x:row>
    <x:row r="41">
      <x:c r="A41" s="133"/>
      <x:c r="B41" s="133"/>
      <x:c r="C41" s="133"/>
      <x:c r="D41" s="133"/>
      <x:c r="E41" s="133"/>
      <x:c r="F41" s="133"/>
      <x:c r="G41" s="133"/>
      <x:c r="H41" s="133"/>
      <x:c r="I41" s="133"/>
      <x:c r="J41" s="133"/>
      <x:c r="K41" s="133"/>
      <x:c r="L41" s="133"/>
      <x:c r="M41" s="133"/>
      <x:c r="N41" s="133"/>
      <x:c r="O41" s="133"/>
      <x:c r="P41" s="133"/>
      <x:c r="Q41" s="165"/>
    </x:row>
    <x:row r="42">
      <x:c r="A42" s="133"/>
      <x:c r="B42" s="133"/>
      <x:c r="C42" s="133"/>
      <x:c r="D42" s="133"/>
      <x:c r="E42" s="133"/>
      <x:c r="F42" s="133"/>
      <x:c r="G42" s="133"/>
      <x:c r="H42" s="133"/>
      <x:c r="I42" s="133"/>
      <x:c r="J42" s="133"/>
      <x:c r="K42" s="133"/>
      <x:c r="L42" s="133"/>
      <x:c r="M42" s="133"/>
      <x:c r="N42" s="133"/>
      <x:c r="O42" s="133"/>
      <x:c r="P42" s="133"/>
      <x:c r="Q42" s="165"/>
    </x:row>
    <x:row r="43">
      <x:c r="A43" s="133"/>
      <x:c r="B43" s="133"/>
      <x:c r="C43" s="133"/>
      <x:c r="D43" s="133"/>
      <x:c r="E43" s="133"/>
      <x:c r="F43" s="133"/>
      <x:c r="G43" s="133"/>
      <x:c r="H43" s="133"/>
      <x:c r="I43" s="133"/>
      <x:c r="J43" s="133"/>
      <x:c r="K43" s="133"/>
      <x:c r="L43" s="133"/>
      <x:c r="M43" s="133"/>
      <x:c r="N43" s="133"/>
      <x:c r="O43" s="133"/>
      <x:c r="P43" s="133"/>
      <x:c r="Q43" s="165"/>
    </x:row>
    <x:row r="44">
      <x:c r="A44" s="133"/>
      <x:c r="B44" s="133"/>
      <x:c r="C44" s="133"/>
      <x:c r="D44" s="133"/>
      <x:c r="E44" s="133"/>
      <x:c r="F44" s="133"/>
      <x:c r="G44" s="133"/>
      <x:c r="H44" s="133"/>
      <x:c r="I44" s="133"/>
      <x:c r="J44" s="133"/>
      <x:c r="K44" s="133"/>
      <x:c r="L44" s="133"/>
      <x:c r="M44" s="133"/>
      <x:c r="N44" s="133"/>
      <x:c r="O44" s="133"/>
      <x:c r="P44" s="133"/>
      <x:c r="Q44" s="165"/>
    </x:row>
    <x:row r="45">
      <x:c r="A45" s="133"/>
      <x:c r="B45" s="133"/>
      <x:c r="C45" s="133"/>
      <x:c r="D45" s="133"/>
      <x:c r="E45" s="133"/>
      <x:c r="F45" s="133"/>
      <x:c r="G45" s="133"/>
      <x:c r="H45" s="133"/>
      <x:c r="I45" s="133"/>
      <x:c r="J45" s="133"/>
      <x:c r="K45" s="133"/>
      <x:c r="L45" s="133"/>
      <x:c r="M45" s="133"/>
      <x:c r="N45" s="133"/>
      <x:c r="O45" s="133"/>
      <x:c r="P45" s="133"/>
      <x:c r="Q45" s="165"/>
    </x:row>
    <x:row r="46">
      <x:c r="A46" s="133"/>
      <x:c r="B46" s="133"/>
      <x:c r="C46" s="133"/>
      <x:c r="D46" s="133"/>
      <x:c r="E46" s="133"/>
      <x:c r="F46" s="133"/>
      <x:c r="G46" s="133"/>
      <x:c r="H46" s="133"/>
      <x:c r="I46" s="133"/>
      <x:c r="J46" s="133"/>
      <x:c r="K46" s="133"/>
      <x:c r="L46" s="133"/>
      <x:c r="M46" s="133"/>
      <x:c r="N46" s="133"/>
      <x:c r="O46" s="133"/>
      <x:c r="P46" s="133"/>
      <x:c r="Q46" s="165"/>
    </x:row>
    <x:row r="47">
      <x:c r="A47" s="133"/>
      <x:c r="B47" s="133"/>
      <x:c r="C47" s="133"/>
      <x:c r="D47" s="133"/>
      <x:c r="E47" s="133"/>
      <x:c r="F47" s="133"/>
      <x:c r="G47" s="133"/>
      <x:c r="H47" s="133"/>
      <x:c r="I47" s="133"/>
      <x:c r="J47" s="133"/>
      <x:c r="K47" s="133"/>
      <x:c r="L47" s="133"/>
      <x:c r="M47" s="133"/>
      <x:c r="N47" s="133"/>
      <x:c r="O47" s="133"/>
      <x:c r="P47" s="133"/>
      <x:c r="Q47" s="165"/>
    </x:row>
    <x:row r="48">
      <x:c r="A48" s="133"/>
      <x:c r="B48" s="133"/>
      <x:c r="C48" s="133"/>
      <x:c r="D48" s="133"/>
      <x:c r="E48" s="133"/>
      <x:c r="F48" s="133"/>
      <x:c r="G48" s="133"/>
      <x:c r="H48" s="133"/>
      <x:c r="I48" s="133"/>
      <x:c r="J48" s="133"/>
      <x:c r="K48" s="133"/>
      <x:c r="L48" s="133"/>
      <x:c r="M48" s="133"/>
      <x:c r="N48" s="133"/>
      <x:c r="O48" s="133"/>
      <x:c r="P48" s="133"/>
      <x:c r="Q48" s="165"/>
    </x:row>
    <x:row r="49">
      <x:c r="A49" s="133"/>
      <x:c r="B49" s="133"/>
      <x:c r="C49" s="133"/>
      <x:c r="D49" s="133"/>
      <x:c r="E49" s="133"/>
      <x:c r="F49" s="133"/>
      <x:c r="G49" s="133"/>
      <x:c r="H49" s="133"/>
      <x:c r="I49" s="133"/>
      <x:c r="J49" s="133"/>
      <x:c r="K49" s="133"/>
      <x:c r="L49" s="133"/>
      <x:c r="M49" s="133"/>
      <x:c r="N49" s="133"/>
      <x:c r="O49" s="133"/>
      <x:c r="P49" s="133"/>
      <x:c r="Q49" s="165"/>
    </x:row>
    <x:row r="50">
      <x:c r="A50" s="133"/>
      <x:c r="B50" s="133"/>
      <x:c r="C50" s="133"/>
      <x:c r="D50" s="133"/>
      <x:c r="E50" s="133"/>
      <x:c r="F50" s="133"/>
      <x:c r="G50" s="133"/>
      <x:c r="H50" s="133"/>
      <x:c r="I50" s="133"/>
      <x:c r="J50" s="133"/>
      <x:c r="K50" s="133"/>
      <x:c r="L50" s="133"/>
      <x:c r="M50" s="133"/>
      <x:c r="N50" s="133"/>
      <x:c r="O50" s="133"/>
      <x:c r="P50" s="133"/>
      <x:c r="Q50" s="165"/>
    </x:row>
    <x:row r="51">
      <x:c r="A51" s="133"/>
      <x:c r="B51" s="133"/>
      <x:c r="C51" s="133"/>
      <x:c r="D51" s="133"/>
      <x:c r="E51" s="133"/>
      <x:c r="F51" s="133"/>
      <x:c r="G51" s="133"/>
      <x:c r="H51" s="133"/>
      <x:c r="I51" s="133"/>
      <x:c r="J51" s="133"/>
      <x:c r="K51" s="133"/>
      <x:c r="L51" s="133"/>
      <x:c r="M51" s="133"/>
      <x:c r="N51" s="133"/>
      <x:c r="O51" s="133"/>
      <x:c r="P51" s="133"/>
      <x:c r="Q51" s="165"/>
    </x:row>
    <x:row r="52">
      <x:c r="A52" s="133"/>
      <x:c r="B52" s="133"/>
      <x:c r="C52" s="133"/>
      <x:c r="D52" s="133"/>
      <x:c r="E52" s="133"/>
      <x:c r="F52" s="133"/>
      <x:c r="G52" s="133"/>
      <x:c r="H52" s="133"/>
      <x:c r="I52" s="133"/>
      <x:c r="J52" s="133"/>
      <x:c r="K52" s="133"/>
      <x:c r="L52" s="133"/>
      <x:c r="M52" s="133"/>
      <x:c r="N52" s="133"/>
      <x:c r="O52" s="133"/>
      <x:c r="P52" s="133"/>
      <x:c r="Q52" s="165"/>
    </x:row>
    <x:row r="53">
      <x:c r="A53" s="133"/>
      <x:c r="B53" s="133"/>
      <x:c r="C53" s="133"/>
      <x:c r="D53" s="133"/>
      <x:c r="E53" s="133"/>
      <x:c r="F53" s="133"/>
      <x:c r="G53" s="133"/>
      <x:c r="H53" s="133"/>
      <x:c r="I53" s="133"/>
      <x:c r="J53" s="133"/>
      <x:c r="K53" s="133"/>
      <x:c r="L53" s="133"/>
      <x:c r="M53" s="133"/>
      <x:c r="N53" s="133"/>
      <x:c r="O53" s="133"/>
      <x:c r="P53" s="133"/>
      <x:c r="Q53" s="165"/>
    </x:row>
    <x:row r="54">
      <x:c r="A54" s="133"/>
      <x:c r="B54" s="133"/>
      <x:c r="C54" s="133"/>
      <x:c r="D54" s="133"/>
      <x:c r="E54" s="133"/>
      <x:c r="F54" s="133"/>
      <x:c r="G54" s="133"/>
      <x:c r="H54" s="133"/>
      <x:c r="I54" s="133"/>
      <x:c r="J54" s="133"/>
      <x:c r="K54" s="133"/>
      <x:c r="L54" s="133"/>
      <x:c r="M54" s="133"/>
      <x:c r="N54" s="133"/>
      <x:c r="O54" s="133"/>
      <x:c r="P54" s="133"/>
      <x:c r="Q54" s="165"/>
    </x:row>
    <x:row r="55">
      <x:c r="A55" s="133"/>
      <x:c r="B55" s="133"/>
      <x:c r="C55" s="133"/>
      <x:c r="D55" s="133"/>
      <x:c r="E55" s="133"/>
      <x:c r="F55" s="133"/>
      <x:c r="G55" s="133"/>
      <x:c r="H55" s="133"/>
      <x:c r="I55" s="133"/>
      <x:c r="J55" s="133"/>
      <x:c r="K55" s="133"/>
      <x:c r="L55" s="133"/>
      <x:c r="M55" s="133"/>
      <x:c r="N55" s="133"/>
      <x:c r="O55" s="133"/>
      <x:c r="P55" s="133"/>
      <x:c r="Q55" s="165"/>
    </x:row>
    <x:row r="56">
      <x:c r="A56" s="133"/>
      <x:c r="B56" s="133"/>
      <x:c r="C56" s="133"/>
      <x:c r="D56" s="133"/>
      <x:c r="E56" s="133"/>
      <x:c r="F56" s="133"/>
      <x:c r="G56" s="133"/>
      <x:c r="H56" s="133"/>
      <x:c r="I56" s="133"/>
      <x:c r="J56" s="133"/>
      <x:c r="K56" s="133"/>
      <x:c r="L56" s="133"/>
      <x:c r="M56" s="133"/>
      <x:c r="N56" s="133"/>
      <x:c r="O56" s="133"/>
      <x:c r="P56" s="133"/>
      <x:c r="Q56" s="165"/>
    </x:row>
    <x:row r="57">
      <x:c r="A57" s="133"/>
      <x:c r="B57" s="133"/>
      <x:c r="C57" s="133"/>
      <x:c r="D57" s="133"/>
      <x:c r="E57" s="133"/>
      <x:c r="F57" s="133"/>
      <x:c r="G57" s="133"/>
      <x:c r="H57" s="133"/>
      <x:c r="I57" s="133"/>
      <x:c r="J57" s="133"/>
      <x:c r="K57" s="133"/>
      <x:c r="L57" s="133"/>
      <x:c r="M57" s="133"/>
      <x:c r="N57" s="133"/>
      <x:c r="O57" s="133"/>
      <x:c r="P57" s="133"/>
      <x:c r="Q57" s="165"/>
    </x:row>
    <x:row r="58">
      <x:c r="A58" s="133"/>
      <x:c r="B58" s="133"/>
      <x:c r="C58" s="133"/>
      <x:c r="D58" s="133"/>
      <x:c r="E58" s="133"/>
      <x:c r="F58" s="133"/>
      <x:c r="G58" s="133"/>
      <x:c r="H58" s="133"/>
      <x:c r="I58" s="133"/>
      <x:c r="J58" s="133"/>
      <x:c r="K58" s="133"/>
      <x:c r="L58" s="133"/>
      <x:c r="M58" s="133"/>
      <x:c r="N58" s="133"/>
      <x:c r="O58" s="133"/>
      <x:c r="P58" s="133"/>
      <x:c r="Q58" s="165"/>
    </x:row>
    <x:row r="59">
      <x:c r="A59" s="133"/>
      <x:c r="B59" s="133"/>
      <x:c r="C59" s="133"/>
      <x:c r="D59" s="133"/>
      <x:c r="E59" s="133"/>
      <x:c r="F59" s="133"/>
      <x:c r="G59" s="133"/>
      <x:c r="H59" s="133"/>
      <x:c r="I59" s="133"/>
      <x:c r="J59" s="133"/>
      <x:c r="K59" s="133"/>
      <x:c r="L59" s="133"/>
      <x:c r="M59" s="133"/>
      <x:c r="N59" s="133"/>
      <x:c r="O59" s="133"/>
      <x:c r="P59" s="133"/>
      <x:c r="Q59" s="165"/>
    </x:row>
    <x:row r="60">
      <x:c r="A60" s="133"/>
      <x:c r="B60" s="133"/>
      <x:c r="C60" s="133"/>
      <x:c r="D60" s="133"/>
      <x:c r="E60" s="133"/>
      <x:c r="F60" s="133"/>
      <x:c r="G60" s="133"/>
      <x:c r="H60" s="133"/>
      <x:c r="I60" s="133"/>
      <x:c r="J60" s="133"/>
      <x:c r="K60" s="133"/>
      <x:c r="L60" s="133"/>
      <x:c r="M60" s="133"/>
      <x:c r="N60" s="133"/>
      <x:c r="O60" s="133"/>
      <x:c r="P60" s="133"/>
      <x:c r="Q60" s="165"/>
    </x:row>
    <x:row r="61">
      <x:c r="A61" s="133"/>
      <x:c r="B61" s="133"/>
      <x:c r="C61" s="133"/>
      <x:c r="D61" s="133"/>
      <x:c r="E61" s="133"/>
      <x:c r="F61" s="133"/>
      <x:c r="G61" s="133"/>
      <x:c r="H61" s="133"/>
      <x:c r="I61" s="133"/>
      <x:c r="J61" s="133"/>
      <x:c r="K61" s="133"/>
      <x:c r="L61" s="133"/>
      <x:c r="M61" s="133"/>
      <x:c r="N61" s="133"/>
      <x:c r="O61" s="133"/>
      <x:c r="P61" s="133"/>
      <x:c r="Q61" s="165"/>
    </x:row>
    <x:row r="62">
      <x:c r="A62" s="133"/>
      <x:c r="B62" s="133"/>
      <x:c r="C62" s="133"/>
      <x:c r="D62" s="133"/>
      <x:c r="E62" s="133"/>
      <x:c r="F62" s="133"/>
      <x:c r="G62" s="133"/>
      <x:c r="H62" s="133"/>
      <x:c r="I62" s="133"/>
      <x:c r="J62" s="133"/>
      <x:c r="K62" s="133"/>
      <x:c r="L62" s="133"/>
      <x:c r="M62" s="133"/>
      <x:c r="N62" s="133"/>
      <x:c r="O62" s="133"/>
      <x:c r="P62" s="133"/>
      <x:c r="Q62" s="165"/>
    </x:row>
    <x:row r="63">
      <x:c r="A63" s="133"/>
      <x:c r="B63" s="133"/>
      <x:c r="C63" s="133"/>
      <x:c r="D63" s="133"/>
      <x:c r="E63" s="133"/>
      <x:c r="F63" s="133"/>
      <x:c r="G63" s="133"/>
      <x:c r="H63" s="133"/>
      <x:c r="I63" s="133"/>
      <x:c r="J63" s="133"/>
      <x:c r="K63" s="133"/>
      <x:c r="L63" s="133"/>
      <x:c r="M63" s="133"/>
      <x:c r="N63" s="133"/>
      <x:c r="O63" s="133"/>
      <x:c r="P63" s="133"/>
      <x:c r="Q63" s="165"/>
    </x:row>
    <x:row r="64">
      <x:c r="A64" s="133"/>
      <x:c r="B64" s="133"/>
      <x:c r="C64" s="133"/>
      <x:c r="D64" s="133"/>
      <x:c r="E64" s="133"/>
      <x:c r="F64" s="133"/>
      <x:c r="G64" s="133"/>
      <x:c r="H64" s="133"/>
      <x:c r="I64" s="133"/>
      <x:c r="J64" s="133"/>
      <x:c r="K64" s="133"/>
      <x:c r="L64" s="133"/>
      <x:c r="M64" s="133"/>
      <x:c r="N64" s="133"/>
      <x:c r="O64" s="133"/>
      <x:c r="P64" s="133"/>
      <x:c r="Q64" s="165"/>
    </x:row>
    <x:row r="65">
      <x:c r="A65" s="133"/>
      <x:c r="B65" s="133"/>
      <x:c r="C65" s="133"/>
      <x:c r="D65" s="133"/>
      <x:c r="E65" s="133"/>
      <x:c r="F65" s="133"/>
      <x:c r="G65" s="133"/>
      <x:c r="H65" s="133"/>
      <x:c r="I65" s="133"/>
      <x:c r="J65" s="133"/>
      <x:c r="K65" s="133"/>
      <x:c r="L65" s="133"/>
      <x:c r="M65" s="133"/>
      <x:c r="N65" s="133"/>
      <x:c r="O65" s="133"/>
      <x:c r="P65" s="133"/>
      <x:c r="Q65" s="165"/>
    </x:row>
    <x:row r="66">
      <x:c r="A66" s="133"/>
      <x:c r="B66" s="133"/>
      <x:c r="C66" s="133"/>
      <x:c r="D66" s="133"/>
      <x:c r="E66" s="133"/>
      <x:c r="F66" s="133"/>
      <x:c r="G66" s="133"/>
      <x:c r="H66" s="133"/>
      <x:c r="I66" s="133"/>
      <x:c r="J66" s="133"/>
      <x:c r="K66" s="133"/>
      <x:c r="L66" s="133"/>
      <x:c r="M66" s="133"/>
      <x:c r="N66" s="133"/>
      <x:c r="O66" s="133"/>
      <x:c r="P66" s="133"/>
      <x:c r="Q66" s="165"/>
    </x:row>
    <x:row r="67">
      <x:c r="A67" s="133"/>
      <x:c r="B67" s="133"/>
      <x:c r="C67" s="133"/>
      <x:c r="D67" s="133"/>
      <x:c r="E67" s="133"/>
      <x:c r="F67" s="133"/>
      <x:c r="G67" s="133"/>
      <x:c r="H67" s="133"/>
      <x:c r="I67" s="133"/>
      <x:c r="J67" s="133"/>
      <x:c r="K67" s="133"/>
      <x:c r="L67" s="133"/>
      <x:c r="M67" s="133"/>
      <x:c r="N67" s="133"/>
      <x:c r="O67" s="133"/>
      <x:c r="P67" s="133"/>
      <x:c r="Q67" s="165"/>
    </x:row>
    <x:row r="68">
      <x:c r="A68" s="133"/>
      <x:c r="B68" s="133"/>
      <x:c r="C68" s="133"/>
      <x:c r="D68" s="133"/>
      <x:c r="E68" s="133"/>
      <x:c r="F68" s="133"/>
      <x:c r="G68" s="133"/>
      <x:c r="H68" s="133"/>
      <x:c r="I68" s="133"/>
      <x:c r="J68" s="133"/>
      <x:c r="K68" s="133"/>
      <x:c r="L68" s="133"/>
      <x:c r="M68" s="133"/>
      <x:c r="N68" s="133"/>
      <x:c r="O68" s="133"/>
      <x:c r="P68" s="133"/>
      <x:c r="Q68" s="165"/>
    </x:row>
    <x:row r="69">
      <x:c r="A69" s="133"/>
      <x:c r="B69" s="133"/>
      <x:c r="C69" s="133"/>
      <x:c r="D69" s="133"/>
      <x:c r="E69" s="133"/>
      <x:c r="F69" s="133"/>
      <x:c r="G69" s="133"/>
      <x:c r="H69" s="133"/>
      <x:c r="I69" s="133"/>
      <x:c r="J69" s="133"/>
      <x:c r="K69" s="133"/>
      <x:c r="L69" s="133"/>
      <x:c r="M69" s="133"/>
      <x:c r="N69" s="133"/>
      <x:c r="O69" s="133"/>
      <x:c r="P69" s="133"/>
      <x:c r="Q69" s="165"/>
    </x:row>
    <x:row r="70">
      <x:c r="A70" s="133"/>
      <x:c r="B70" s="133"/>
      <x:c r="C70" s="133"/>
      <x:c r="D70" s="133"/>
      <x:c r="E70" s="133"/>
      <x:c r="F70" s="133"/>
      <x:c r="G70" s="133"/>
      <x:c r="H70" s="133"/>
      <x:c r="I70" s="133"/>
      <x:c r="J70" s="133"/>
      <x:c r="K70" s="133"/>
      <x:c r="L70" s="133"/>
      <x:c r="M70" s="133"/>
      <x:c r="N70" s="133"/>
      <x:c r="O70" s="133"/>
      <x:c r="P70" s="133"/>
      <x:c r="Q70" s="165"/>
    </x:row>
    <x:row r="71">
      <x:c r="A71" s="133"/>
      <x:c r="B71" s="133"/>
      <x:c r="C71" s="133"/>
      <x:c r="D71" s="133"/>
      <x:c r="E71" s="133"/>
      <x:c r="F71" s="133"/>
      <x:c r="G71" s="133"/>
      <x:c r="H71" s="133"/>
      <x:c r="I71" s="133"/>
      <x:c r="J71" s="133"/>
      <x:c r="K71" s="133"/>
      <x:c r="L71" s="133"/>
      <x:c r="M71" s="133"/>
      <x:c r="N71" s="133"/>
      <x:c r="O71" s="133"/>
      <x:c r="P71" s="133"/>
      <x:c r="Q71" s="165"/>
    </x:row>
    <x:row r="72">
      <x:c r="A72" s="133"/>
      <x:c r="B72" s="133"/>
      <x:c r="C72" s="133"/>
      <x:c r="D72" s="133"/>
      <x:c r="E72" s="133"/>
      <x:c r="F72" s="133"/>
      <x:c r="G72" s="133"/>
      <x:c r="H72" s="133"/>
      <x:c r="I72" s="133"/>
      <x:c r="J72" s="133"/>
      <x:c r="K72" s="133"/>
      <x:c r="L72" s="133"/>
      <x:c r="M72" s="133"/>
      <x:c r="N72" s="133"/>
      <x:c r="O72" s="133"/>
      <x:c r="P72" s="133"/>
      <x:c r="Q72" s="165"/>
    </x:row>
    <x:row r="73">
      <x:c r="A73" s="133"/>
      <x:c r="B73" s="133"/>
      <x:c r="C73" s="133"/>
      <x:c r="D73" s="133"/>
      <x:c r="E73" s="133"/>
      <x:c r="F73" s="133"/>
      <x:c r="G73" s="133"/>
      <x:c r="H73" s="133"/>
      <x:c r="I73" s="133"/>
      <x:c r="J73" s="133"/>
      <x:c r="K73" s="133"/>
      <x:c r="L73" s="133"/>
      <x:c r="M73" s="133"/>
      <x:c r="N73" s="133"/>
      <x:c r="O73" s="133"/>
      <x:c r="P73" s="133"/>
      <x:c r="Q73" s="165"/>
    </x:row>
    <x:row r="74">
      <x:c r="A74" s="133"/>
      <x:c r="B74" s="133"/>
      <x:c r="C74" s="133"/>
      <x:c r="D74" s="133"/>
      <x:c r="E74" s="133"/>
      <x:c r="F74" s="133"/>
      <x:c r="G74" s="133"/>
      <x:c r="H74" s="133"/>
      <x:c r="I74" s="133"/>
      <x:c r="J74" s="133"/>
      <x:c r="K74" s="133"/>
      <x:c r="L74" s="133"/>
      <x:c r="M74" s="133"/>
      <x:c r="N74" s="133"/>
      <x:c r="O74" s="133"/>
      <x:c r="P74" s="133"/>
      <x:c r="Q74" s="165"/>
    </x:row>
    <x:row r="75">
      <x:c r="A75" s="133"/>
      <x:c r="B75" s="133"/>
      <x:c r="C75" s="133"/>
      <x:c r="D75" s="133"/>
      <x:c r="E75" s="133"/>
      <x:c r="F75" s="133"/>
      <x:c r="G75" s="133"/>
      <x:c r="H75" s="133"/>
      <x:c r="I75" s="133"/>
      <x:c r="J75" s="133"/>
      <x:c r="K75" s="133"/>
      <x:c r="L75" s="133"/>
      <x:c r="M75" s="133"/>
      <x:c r="N75" s="133"/>
      <x:c r="O75" s="133"/>
      <x:c r="P75" s="133"/>
      <x:c r="Q75" s="165"/>
    </x:row>
    <x:row r="76">
      <x:c r="A76" s="133"/>
      <x:c r="B76" s="133"/>
      <x:c r="C76" s="133"/>
      <x:c r="D76" s="133"/>
      <x:c r="E76" s="133"/>
      <x:c r="F76" s="133"/>
      <x:c r="G76" s="133"/>
      <x:c r="H76" s="133"/>
      <x:c r="I76" s="133"/>
      <x:c r="J76" s="133"/>
      <x:c r="K76" s="133"/>
      <x:c r="L76" s="133"/>
      <x:c r="M76" s="133"/>
      <x:c r="N76" s="133"/>
      <x:c r="O76" s="133"/>
      <x:c r="P76" s="133"/>
      <x:c r="Q76" s="165"/>
    </x:row>
    <x:row r="77">
      <x:c r="A77" s="133"/>
      <x:c r="B77" s="133"/>
      <x:c r="C77" s="133"/>
      <x:c r="D77" s="133"/>
      <x:c r="E77" s="133"/>
      <x:c r="F77" s="133"/>
      <x:c r="G77" s="133"/>
      <x:c r="H77" s="133"/>
      <x:c r="I77" s="133"/>
      <x:c r="J77" s="133"/>
      <x:c r="K77" s="133"/>
      <x:c r="L77" s="133"/>
      <x:c r="M77" s="133"/>
      <x:c r="N77" s="133"/>
      <x:c r="O77" s="133"/>
      <x:c r="P77" s="133"/>
      <x:c r="Q77" s="165"/>
    </x:row>
    <x:row r="78">
      <x:c r="A78" s="133"/>
      <x:c r="B78" s="133"/>
      <x:c r="C78" s="133"/>
      <x:c r="D78" s="133"/>
      <x:c r="E78" s="133"/>
      <x:c r="F78" s="133"/>
      <x:c r="G78" s="133"/>
      <x:c r="H78" s="133"/>
      <x:c r="I78" s="133"/>
      <x:c r="J78" s="133"/>
      <x:c r="K78" s="133"/>
      <x:c r="L78" s="133"/>
      <x:c r="M78" s="133"/>
      <x:c r="N78" s="133"/>
      <x:c r="O78" s="133"/>
      <x:c r="P78" s="133"/>
      <x:c r="Q78" s="165"/>
    </x:row>
    <x:row r="79">
      <x:c r="A79" s="133"/>
      <x:c r="B79" s="133"/>
      <x:c r="C79" s="133"/>
      <x:c r="D79" s="133"/>
      <x:c r="E79" s="133"/>
      <x:c r="F79" s="133"/>
      <x:c r="G79" s="133"/>
      <x:c r="H79" s="133"/>
      <x:c r="I79" s="133"/>
      <x:c r="J79" s="133"/>
      <x:c r="K79" s="133"/>
      <x:c r="L79" s="133"/>
      <x:c r="M79" s="133"/>
      <x:c r="N79" s="133"/>
      <x:c r="O79" s="133"/>
      <x:c r="P79" s="133"/>
      <x:c r="Q79" s="165"/>
    </x:row>
    <x:row r="80">
      <x:c r="A80" s="133"/>
      <x:c r="B80" s="133"/>
      <x:c r="C80" s="133"/>
      <x:c r="D80" s="133"/>
      <x:c r="E80" s="133"/>
      <x:c r="F80" s="133"/>
      <x:c r="G80" s="133"/>
      <x:c r="H80" s="133"/>
      <x:c r="I80" s="133"/>
      <x:c r="J80" s="133"/>
      <x:c r="K80" s="133"/>
      <x:c r="L80" s="133"/>
      <x:c r="M80" s="133"/>
      <x:c r="N80" s="133"/>
      <x:c r="O80" s="133"/>
      <x:c r="P80" s="133"/>
      <x:c r="Q80" s="165"/>
    </x:row>
    <x:row r="81">
      <x:c r="A81" s="133"/>
      <x:c r="B81" s="133"/>
      <x:c r="C81" s="133"/>
      <x:c r="D81" s="133"/>
      <x:c r="E81" s="133"/>
      <x:c r="F81" s="133"/>
      <x:c r="G81" s="133"/>
      <x:c r="H81" s="133"/>
      <x:c r="I81" s="133"/>
      <x:c r="J81" s="133"/>
      <x:c r="K81" s="133"/>
      <x:c r="L81" s="133"/>
      <x:c r="M81" s="133"/>
      <x:c r="N81" s="133"/>
      <x:c r="O81" s="133"/>
      <x:c r="P81" s="133"/>
      <x:c r="Q81" s="165"/>
    </x:row>
    <x:row r="82">
      <x:c r="A82" s="133"/>
      <x:c r="B82" s="133"/>
      <x:c r="C82" s="133"/>
      <x:c r="D82" s="133"/>
      <x:c r="E82" s="133"/>
      <x:c r="F82" s="133"/>
      <x:c r="G82" s="133"/>
      <x:c r="H82" s="133"/>
      <x:c r="I82" s="133"/>
      <x:c r="J82" s="133"/>
      <x:c r="K82" s="133"/>
      <x:c r="L82" s="133"/>
      <x:c r="M82" s="133"/>
      <x:c r="N82" s="133"/>
      <x:c r="O82" s="133"/>
      <x:c r="P82" s="133"/>
      <x:c r="Q82" s="165"/>
    </x:row>
    <x:row r="83">
      <x:c r="A83" s="133"/>
      <x:c r="B83" s="133"/>
      <x:c r="C83" s="133"/>
      <x:c r="D83" s="133"/>
      <x:c r="E83" s="133"/>
      <x:c r="F83" s="133"/>
      <x:c r="G83" s="133"/>
      <x:c r="H83" s="133"/>
      <x:c r="I83" s="133"/>
      <x:c r="J83" s="133"/>
      <x:c r="K83" s="133"/>
      <x:c r="L83" s="133"/>
      <x:c r="M83" s="133"/>
      <x:c r="N83" s="133"/>
      <x:c r="O83" s="133"/>
      <x:c r="P83" s="133"/>
      <x:c r="Q83" s="165"/>
    </x:row>
    <x:row r="84">
      <x:c r="A84" s="133"/>
      <x:c r="B84" s="133"/>
      <x:c r="C84" s="133"/>
      <x:c r="D84" s="133"/>
      <x:c r="E84" s="133"/>
      <x:c r="F84" s="133"/>
      <x:c r="G84" s="133"/>
      <x:c r="H84" s="133"/>
      <x:c r="I84" s="133"/>
      <x:c r="J84" s="133"/>
      <x:c r="K84" s="133"/>
      <x:c r="L84" s="133"/>
      <x:c r="M84" s="133"/>
      <x:c r="N84" s="133"/>
      <x:c r="O84" s="133"/>
      <x:c r="P84" s="133"/>
      <x:c r="Q84" s="165"/>
    </x:row>
    <x:row r="85">
      <x:c r="A85" s="133"/>
      <x:c r="B85" s="133"/>
      <x:c r="C85" s="133"/>
      <x:c r="D85" s="133"/>
      <x:c r="E85" s="133"/>
      <x:c r="F85" s="133"/>
      <x:c r="G85" s="133"/>
      <x:c r="H85" s="133"/>
      <x:c r="I85" s="133"/>
      <x:c r="J85" s="133"/>
      <x:c r="K85" s="133"/>
      <x:c r="L85" s="133"/>
      <x:c r="M85" s="133"/>
      <x:c r="N85" s="133"/>
      <x:c r="O85" s="133"/>
      <x:c r="P85" s="133"/>
      <x:c r="Q85" s="165"/>
    </x:row>
    <x:row r="86">
      <x:c r="A86" s="133"/>
      <x:c r="B86" s="133"/>
      <x:c r="C86" s="133"/>
      <x:c r="D86" s="133"/>
      <x:c r="E86" s="133"/>
      <x:c r="F86" s="133"/>
      <x:c r="G86" s="133"/>
      <x:c r="H86" s="133"/>
      <x:c r="I86" s="133"/>
      <x:c r="J86" s="133"/>
      <x:c r="K86" s="133"/>
      <x:c r="L86" s="133"/>
      <x:c r="M86" s="133"/>
      <x:c r="N86" s="133"/>
      <x:c r="O86" s="133"/>
      <x:c r="P86" s="133"/>
      <x:c r="Q86" s="165"/>
    </x:row>
    <x:row r="87">
      <x:c r="A87" s="133"/>
      <x:c r="B87" s="133"/>
      <x:c r="C87" s="133"/>
      <x:c r="D87" s="133"/>
      <x:c r="E87" s="133"/>
      <x:c r="F87" s="133"/>
      <x:c r="G87" s="133"/>
      <x:c r="H87" s="133"/>
      <x:c r="I87" s="133"/>
      <x:c r="J87" s="133"/>
      <x:c r="K87" s="133"/>
      <x:c r="L87" s="133"/>
      <x:c r="M87" s="133"/>
      <x:c r="N87" s="133"/>
      <x:c r="O87" s="133"/>
      <x:c r="P87" s="133"/>
      <x:c r="Q87" s="165"/>
    </x:row>
    <x:row r="88">
      <x:c r="A88" s="133"/>
      <x:c r="B88" s="133"/>
      <x:c r="C88" s="133"/>
      <x:c r="D88" s="133"/>
      <x:c r="E88" s="133"/>
      <x:c r="F88" s="133"/>
      <x:c r="G88" s="133"/>
      <x:c r="H88" s="133"/>
      <x:c r="I88" s="133"/>
      <x:c r="J88" s="133"/>
      <x:c r="K88" s="133"/>
      <x:c r="L88" s="133"/>
      <x:c r="M88" s="133"/>
      <x:c r="N88" s="133"/>
      <x:c r="O88" s="133"/>
      <x:c r="P88" s="133"/>
      <x:c r="Q88" s="165"/>
    </x:row>
    <x:row r="89">
      <x:c r="A89" s="133"/>
      <x:c r="B89" s="133"/>
      <x:c r="C89" s="133"/>
      <x:c r="D89" s="133"/>
      <x:c r="E89" s="133"/>
      <x:c r="F89" s="133"/>
      <x:c r="G89" s="133"/>
      <x:c r="H89" s="133"/>
      <x:c r="I89" s="133"/>
      <x:c r="J89" s="133"/>
      <x:c r="K89" s="133"/>
      <x:c r="L89" s="133"/>
      <x:c r="M89" s="133"/>
      <x:c r="N89" s="133"/>
      <x:c r="O89" s="133"/>
      <x:c r="P89" s="133"/>
      <x:c r="Q89" s="165"/>
    </x:row>
    <x:row r="90">
      <x:c r="A90" s="133"/>
      <x:c r="B90" s="133"/>
      <x:c r="C90" s="133"/>
      <x:c r="D90" s="133"/>
      <x:c r="E90" s="133"/>
      <x:c r="F90" s="133"/>
      <x:c r="G90" s="133"/>
      <x:c r="H90" s="133"/>
      <x:c r="I90" s="133"/>
      <x:c r="J90" s="133"/>
      <x:c r="K90" s="133"/>
      <x:c r="L90" s="133"/>
      <x:c r="M90" s="133"/>
      <x:c r="N90" s="133"/>
      <x:c r="O90" s="133"/>
      <x:c r="P90" s="133"/>
      <x:c r="Q90" s="165"/>
    </x:row>
    <x:row r="91">
      <x:c r="A91" s="133"/>
      <x:c r="B91" s="133"/>
      <x:c r="C91" s="133"/>
      <x:c r="D91" s="133"/>
      <x:c r="E91" s="133"/>
      <x:c r="F91" s="133"/>
      <x:c r="G91" s="133"/>
      <x:c r="H91" s="133"/>
      <x:c r="I91" s="133"/>
      <x:c r="J91" s="133"/>
      <x:c r="K91" s="133"/>
      <x:c r="L91" s="133"/>
      <x:c r="M91" s="133"/>
      <x:c r="N91" s="133"/>
      <x:c r="O91" s="133"/>
      <x:c r="P91" s="133"/>
      <x:c r="Q91" s="165"/>
    </x:row>
    <x:row r="92">
      <x:c r="A92" s="133"/>
      <x:c r="B92" s="133"/>
      <x:c r="C92" s="133"/>
      <x:c r="D92" s="133"/>
      <x:c r="E92" s="133"/>
      <x:c r="F92" s="133"/>
      <x:c r="G92" s="133"/>
      <x:c r="H92" s="133"/>
      <x:c r="I92" s="133"/>
      <x:c r="J92" s="133"/>
      <x:c r="K92" s="133"/>
      <x:c r="L92" s="133"/>
      <x:c r="M92" s="133"/>
      <x:c r="N92" s="133"/>
      <x:c r="O92" s="133"/>
      <x:c r="P92" s="133"/>
      <x:c r="Q92" s="165"/>
    </x:row>
    <x:row r="93">
      <x:c r="A93" s="133"/>
      <x:c r="B93" s="133"/>
      <x:c r="C93" s="133"/>
      <x:c r="D93" s="133"/>
      <x:c r="E93" s="133"/>
      <x:c r="F93" s="133"/>
      <x:c r="G93" s="133"/>
      <x:c r="H93" s="133"/>
      <x:c r="I93" s="133"/>
      <x:c r="J93" s="133"/>
      <x:c r="K93" s="133"/>
      <x:c r="L93" s="133"/>
      <x:c r="M93" s="133"/>
      <x:c r="N93" s="133"/>
      <x:c r="O93" s="133"/>
      <x:c r="P93" s="133"/>
      <x:c r="Q93" s="165"/>
    </x:row>
    <x:row r="94">
      <x:c r="A94" s="133"/>
      <x:c r="B94" s="133"/>
      <x:c r="C94" s="133"/>
      <x:c r="D94" s="133"/>
      <x:c r="E94" s="133"/>
      <x:c r="F94" s="133"/>
      <x:c r="G94" s="133"/>
      <x:c r="H94" s="133"/>
      <x:c r="I94" s="133"/>
      <x:c r="J94" s="133"/>
      <x:c r="K94" s="133"/>
      <x:c r="L94" s="133"/>
      <x:c r="M94" s="133"/>
      <x:c r="N94" s="133"/>
      <x:c r="O94" s="133"/>
      <x:c r="P94" s="133"/>
      <x:c r="Q94" s="165"/>
    </x:row>
    <x:row r="95">
      <x:c r="A95" s="133"/>
      <x:c r="B95" s="133"/>
      <x:c r="C95" s="133"/>
      <x:c r="D95" s="133"/>
      <x:c r="E95" s="133"/>
      <x:c r="F95" s="133"/>
      <x:c r="G95" s="133"/>
      <x:c r="H95" s="133"/>
      <x:c r="I95" s="133"/>
      <x:c r="J95" s="133"/>
      <x:c r="K95" s="133"/>
      <x:c r="L95" s="133"/>
      <x:c r="M95" s="133"/>
      <x:c r="N95" s="133"/>
      <x:c r="O95" s="133"/>
      <x:c r="P95" s="133"/>
      <x:c r="Q95" s="165"/>
    </x:row>
    <x:row r="96">
      <x:c r="A96" s="133"/>
      <x:c r="B96" s="133"/>
      <x:c r="C96" s="133"/>
      <x:c r="D96" s="133"/>
      <x:c r="E96" s="133"/>
      <x:c r="F96" s="133"/>
      <x:c r="G96" s="133"/>
      <x:c r="H96" s="133"/>
      <x:c r="I96" s="133"/>
      <x:c r="J96" s="133"/>
      <x:c r="K96" s="133"/>
      <x:c r="L96" s="133"/>
      <x:c r="M96" s="133"/>
      <x:c r="N96" s="133"/>
      <x:c r="O96" s="133"/>
      <x:c r="P96" s="133"/>
      <x:c r="Q96" s="165"/>
    </x:row>
    <x:row r="97">
      <x:c r="A97" s="133"/>
      <x:c r="B97" s="133"/>
      <x:c r="C97" s="133"/>
      <x:c r="D97" s="133"/>
      <x:c r="E97" s="133"/>
      <x:c r="F97" s="133"/>
      <x:c r="G97" s="133"/>
      <x:c r="H97" s="133"/>
      <x:c r="I97" s="133"/>
      <x:c r="J97" s="133"/>
      <x:c r="K97" s="133"/>
      <x:c r="L97" s="133"/>
      <x:c r="M97" s="133"/>
      <x:c r="N97" s="133"/>
      <x:c r="O97" s="133"/>
      <x:c r="P97" s="133"/>
      <x:c r="Q97" s="165"/>
    </x:row>
    <x:row r="98">
      <x:c r="A98" s="133"/>
      <x:c r="B98" s="133"/>
      <x:c r="C98" s="133"/>
      <x:c r="D98" s="133"/>
      <x:c r="E98" s="133"/>
      <x:c r="F98" s="133"/>
      <x:c r="G98" s="133"/>
      <x:c r="H98" s="133"/>
      <x:c r="I98" s="133"/>
      <x:c r="J98" s="133"/>
      <x:c r="K98" s="133"/>
      <x:c r="L98" s="133"/>
      <x:c r="M98" s="133"/>
      <x:c r="N98" s="133"/>
      <x:c r="O98" s="133"/>
      <x:c r="P98" s="133"/>
      <x:c r="Q98" s="165"/>
    </x:row>
    <x:row r="99">
      <x:c r="A99" s="133"/>
      <x:c r="B99" s="133"/>
      <x:c r="C99" s="133"/>
      <x:c r="D99" s="133"/>
      <x:c r="E99" s="133"/>
      <x:c r="F99" s="133"/>
      <x:c r="G99" s="133"/>
      <x:c r="H99" s="133"/>
      <x:c r="I99" s="133"/>
      <x:c r="J99" s="133"/>
      <x:c r="K99" s="133"/>
      <x:c r="L99" s="133"/>
      <x:c r="M99" s="133"/>
      <x:c r="N99" s="133"/>
      <x:c r="O99" s="133"/>
      <x:c r="P99" s="133"/>
      <x:c r="Q99" s="165"/>
    </x:row>
    <x:row r="100">
      <x:c r="A100" s="133"/>
      <x:c r="B100" s="133"/>
      <x:c r="C100" s="133"/>
      <x:c r="D100" s="133"/>
      <x:c r="E100" s="133"/>
      <x:c r="F100" s="133"/>
      <x:c r="G100" s="133"/>
      <x:c r="H100" s="133"/>
      <x:c r="I100" s="133"/>
      <x:c r="J100" s="133"/>
      <x:c r="K100" s="133"/>
      <x:c r="L100" s="133"/>
      <x:c r="M100" s="133"/>
      <x:c r="N100" s="133"/>
      <x:c r="O100" s="133"/>
      <x:c r="P100" s="133"/>
      <x:c r="Q100" s="165"/>
    </x:row>
    <x:row r="101">
      <x:c r="A101" s="133"/>
      <x:c r="B101" s="133"/>
      <x:c r="C101" s="133"/>
      <x:c r="D101" s="133"/>
      <x:c r="E101" s="133"/>
      <x:c r="F101" s="133"/>
      <x:c r="G101" s="133"/>
      <x:c r="H101" s="133"/>
      <x:c r="I101" s="133"/>
      <x:c r="J101" s="133"/>
      <x:c r="K101" s="133"/>
      <x:c r="L101" s="133"/>
      <x:c r="M101" s="133"/>
      <x:c r="N101" s="133"/>
      <x:c r="O101" s="133"/>
      <x:c r="P101" s="133"/>
      <x:c r="Q101" s="165"/>
    </x:row>
    <x:row r="102">
      <x:c r="A102" s="133"/>
      <x:c r="B102" s="133"/>
      <x:c r="C102" s="133"/>
      <x:c r="D102" s="133"/>
      <x:c r="E102" s="133"/>
      <x:c r="F102" s="133"/>
      <x:c r="G102" s="133"/>
      <x:c r="H102" s="133"/>
      <x:c r="I102" s="133"/>
      <x:c r="J102" s="133"/>
      <x:c r="K102" s="133"/>
      <x:c r="L102" s="133"/>
      <x:c r="M102" s="133"/>
      <x:c r="N102" s="133"/>
      <x:c r="O102" s="133"/>
      <x:c r="P102" s="133"/>
      <x:c r="Q102" s="165"/>
    </x:row>
    <x:row r="103">
      <x:c r="A103" s="133"/>
      <x:c r="B103" s="133"/>
      <x:c r="C103" s="133"/>
      <x:c r="D103" s="133"/>
      <x:c r="E103" s="133"/>
      <x:c r="F103" s="133"/>
      <x:c r="G103" s="133"/>
      <x:c r="H103" s="133"/>
      <x:c r="I103" s="133"/>
      <x:c r="J103" s="133"/>
      <x:c r="K103" s="133"/>
      <x:c r="L103" s="133"/>
      <x:c r="M103" s="133"/>
      <x:c r="N103" s="133"/>
      <x:c r="O103" s="133"/>
      <x:c r="P103" s="133"/>
      <x:c r="Q103" s="165"/>
    </x:row>
    <x:row r="104">
      <x:c r="A104" s="133"/>
      <x:c r="B104" s="133"/>
      <x:c r="C104" s="133"/>
      <x:c r="D104" s="133"/>
      <x:c r="E104" s="133"/>
      <x:c r="F104" s="133"/>
      <x:c r="G104" s="133"/>
      <x:c r="H104" s="133"/>
      <x:c r="I104" s="133"/>
      <x:c r="J104" s="133"/>
      <x:c r="K104" s="133"/>
      <x:c r="L104" s="133"/>
      <x:c r="M104" s="133"/>
      <x:c r="N104" s="133"/>
      <x:c r="O104" s="133"/>
      <x:c r="P104" s="133"/>
      <x:c r="Q104" s="165"/>
    </x:row>
    <x:row r="105">
      <x:c r="A105" s="133"/>
      <x:c r="B105" s="133"/>
      <x:c r="C105" s="133"/>
      <x:c r="D105" s="133"/>
      <x:c r="E105" s="133"/>
      <x:c r="F105" s="133"/>
      <x:c r="G105" s="133"/>
      <x:c r="H105" s="133"/>
      <x:c r="I105" s="133"/>
      <x:c r="J105" s="133"/>
      <x:c r="K105" s="133"/>
      <x:c r="L105" s="133"/>
      <x:c r="M105" s="133"/>
      <x:c r="N105" s="133"/>
      <x:c r="O105" s="133"/>
      <x:c r="P105" s="133"/>
      <x:c r="Q105" s="165"/>
    </x:row>
    <x:row r="106">
      <x:c r="Q106" s="164"/>
    </x:row>
    <x:row r="107">
      <x:c r="Q107" s="164"/>
    </x:row>
    <x:row r="108">
      <x:c r="Q108" s="164"/>
    </x:row>
    <x:row r="109">
      <x:c r="Q109" s="164"/>
    </x:row>
    <x:row r="110">
      <x:c r="Q110" s="164"/>
    </x:row>
    <x:row r="111">
      <x:c r="Q111" s="164"/>
    </x:row>
    <x:row r="112">
      <x:c r="Q112" s="164"/>
    </x:row>
    <x:row r="113">
      <x:c r="Q113" s="164"/>
    </x:row>
    <x:row r="114">
      <x:c r="Q114" s="164"/>
    </x:row>
    <x:row r="115">
      <x:c r="Q115" s="164"/>
    </x:row>
    <x:row r="116">
      <x:c r="Q116" s="164"/>
    </x:row>
    <x:row r="117">
      <x:c r="Q117" s="164"/>
    </x:row>
    <x:row r="118">
      <x:c r="Q118" s="164"/>
    </x:row>
    <x:row r="119">
      <x:c r="Q119" s="164"/>
    </x:row>
    <x:row r="120">
      <x:c r="Q120" s="164"/>
    </x:row>
    <x:row r="121">
      <x:c r="Q121" s="164"/>
    </x:row>
    <x:row r="122">
      <x:c r="Q122" s="164"/>
    </x:row>
    <x:row r="123">
      <x:c r="Q123" s="164"/>
    </x:row>
    <x:row r="124">
      <x:c r="Q124" s="164"/>
    </x:row>
    <x:row r="125">
      <x:c r="Q125" s="164"/>
    </x:row>
    <x:row r="126">
      <x:c r="Q126" s="164"/>
    </x:row>
    <x:row r="127">
      <x:c r="Q127" s="164"/>
    </x:row>
    <x:row r="128">
      <x:c r="Q128" s="164"/>
    </x:row>
    <x:row r="129">
      <x:c r="Q129" s="164"/>
    </x:row>
    <x:row r="130">
      <x:c r="Q130" s="164"/>
    </x:row>
    <x:row r="131">
      <x:c r="Q131" s="164"/>
    </x:row>
    <x:row r="132">
      <x:c r="Q132" s="164"/>
    </x:row>
    <x:row r="133">
      <x:c r="Q133" s="164"/>
    </x:row>
    <x:row r="134">
      <x:c r="Q134" s="164"/>
    </x:row>
    <x:row r="135">
      <x:c r="Q135" s="164"/>
    </x:row>
    <x:row r="136">
      <x:c r="Q136" s="164"/>
    </x:row>
    <x:row r="137">
      <x:c r="Q137" s="164"/>
    </x:row>
    <x:row r="138">
      <x:c r="Q138" s="164"/>
    </x:row>
    <x:row r="139">
      <x:c r="Q139" s="164"/>
    </x:row>
    <x:row r="140">
      <x:c r="Q140" s="164"/>
    </x:row>
    <x:row r="141">
      <x:c r="Q141" s="164"/>
    </x:row>
    <x:row r="142">
      <x:c r="Q142" s="164"/>
    </x:row>
    <x:row r="143">
      <x:c r="Q143" s="164"/>
    </x:row>
    <x:row r="144">
      <x:c r="Q144" s="164"/>
    </x:row>
    <x:row r="145">
      <x:c r="Q145" s="164"/>
    </x:row>
    <x:row r="146">
      <x:c r="Q146" s="164"/>
    </x:row>
    <x:row r="147">
      <x:c r="Q147" s="164"/>
    </x:row>
    <x:row r="148">
      <x:c r="Q148" s="164"/>
    </x:row>
    <x:row r="149">
      <x:c r="Q149" s="164"/>
    </x:row>
    <x:row r="150">
      <x:c r="Q150" s="164"/>
    </x:row>
    <x:row r="151">
      <x:c r="Q151" s="164"/>
    </x:row>
    <x:row r="152">
      <x:c r="Q152" s="164"/>
    </x:row>
    <x:row r="153">
      <x:c r="Q153" s="164"/>
    </x:row>
    <x:row r="154">
      <x:c r="Q154" s="164"/>
    </x:row>
    <x:row r="155">
      <x:c r="Q155" s="164"/>
    </x:row>
    <x:row r="156">
      <x:c r="Q156" s="164"/>
    </x:row>
    <x:row r="157">
      <x:c r="Q157" s="164"/>
    </x:row>
    <x:row r="158">
      <x:c r="Q158" s="164"/>
    </x:row>
    <x:row r="159">
      <x:c r="Q159" s="164"/>
    </x:row>
    <x:row r="160">
      <x:c r="Q160" s="164"/>
    </x:row>
    <x:row r="161">
      <x:c r="Q161" s="164"/>
    </x:row>
    <x:row r="162">
      <x:c r="Q162" s="164"/>
    </x:row>
    <x:row r="163">
      <x:c r="Q163" s="164"/>
    </x:row>
    <x:row r="164">
      <x:c r="Q164" s="164"/>
    </x:row>
    <x:row r="165">
      <x:c r="Q165" s="164"/>
    </x:row>
    <x:row r="166">
      <x:c r="Q166" s="164"/>
    </x:row>
    <x:row r="167">
      <x:c r="Q167" s="164"/>
    </x:row>
    <x:row r="168">
      <x:c r="Q168" s="164"/>
    </x:row>
    <x:row r="169">
      <x:c r="Q169" s="164"/>
    </x:row>
    <x:row r="170">
      <x:c r="Q170" s="164"/>
    </x:row>
    <x:row r="171">
      <x:c r="Q171" s="164"/>
    </x:row>
    <x:row r="172">
      <x:c r="Q172" s="164"/>
    </x:row>
    <x:row r="173">
      <x:c r="Q173" s="164"/>
    </x:row>
    <x:row r="174">
      <x:c r="Q174" s="164"/>
    </x:row>
    <x:row r="175">
      <x:c r="Q175" s="164"/>
    </x:row>
    <x:row r="176">
      <x:c r="Q176" s="164"/>
    </x:row>
    <x:row r="177">
      <x:c r="Q177" s="164"/>
    </x:row>
    <x:row r="178">
      <x:c r="Q178" s="164"/>
    </x:row>
    <x:row r="179">
      <x:c r="Q179" s="164"/>
    </x:row>
    <x:row r="180">
      <x:c r="Q180" s="164"/>
    </x:row>
    <x:row r="181">
      <x:c r="Q181" s="164"/>
    </x:row>
    <x:row r="182">
      <x:c r="Q182" s="164"/>
    </x:row>
    <x:row r="183">
      <x:c r="Q183" s="164"/>
    </x:row>
    <x:row r="184">
      <x:c r="Q184" s="164"/>
    </x:row>
    <x:row r="185">
      <x:c r="Q185" s="164"/>
    </x:row>
    <x:row r="186">
      <x:c r="Q186" s="164"/>
    </x:row>
    <x:row r="187">
      <x:c r="Q187" s="164"/>
    </x:row>
    <x:row r="188">
      <x:c r="Q188" s="164"/>
    </x:row>
    <x:row r="189">
      <x:c r="Q189" s="164"/>
    </x:row>
    <x:row r="190">
      <x:c r="Q190" s="164"/>
    </x:row>
    <x:row r="191">
      <x:c r="Q191" s="164"/>
    </x:row>
    <x:row r="192">
      <x:c r="Q192" s="164"/>
    </x:row>
    <x:row r="193">
      <x:c r="Q193" s="164"/>
    </x:row>
    <x:row r="194">
      <x:c r="Q194" s="164"/>
    </x:row>
    <x:row r="195">
      <x:c r="Q195" s="164"/>
    </x:row>
    <x:row r="196">
      <x:c r="Q196" s="164"/>
    </x:row>
    <x:row r="197">
      <x:c r="Q197" s="164"/>
    </x:row>
    <x:row r="198">
      <x:c r="Q198" s="164"/>
    </x:row>
    <x:row r="199">
      <x:c r="Q199" s="164"/>
    </x:row>
    <x:row r="200">
      <x:c r="Q200" s="164"/>
    </x:row>
  </x:sheetData>
  <x:mergeCells>
    <x:mergeCell ref="A1:Q1"/>
    <x:mergeCell ref="A2:Q2"/>
  </x:mergeCells>
  <x:conditionalFormatting sqref="E6:E105">
    <x:cfRule type="containsText" dxfId="0" priority="1" operator="containsText" text="Done"/>
    <x:cfRule type="containsText" dxfId="1" priority="2" operator="containsText" text="Passed"/>
    <x:cfRule type="containsText" dxfId="2" priority="3" operator="containsText" text="In Progress"/>
    <x:cfRule type="containsText" dxfId="3" priority="4" operator="containsText" text="In Review"/>
    <x:cfRule type="containsText" dxfId="4" priority="5" operator="containsText" text="Blocked"/>
    <x:cfRule type="containsText" dxfId="5" priority="6" operator="containsText" text="Failed"/>
    <x:cfRule type="containsText" dxfId="6" priority="7" operator="containsText" text="Not Started"/>
    <x:cfRule type="containsText" dxfId="7" priority="8" operator="containsText" text="Pending"/>
  </x:conditionalFormatting>
  <x:conditionalFormatting sqref="I6:I105">
    <x:cfRule type="containsText" dxfId="8" priority="9" operator="containsText" text="Done"/>
    <x:cfRule type="containsText" dxfId="9" priority="10" operator="containsText" text="Passed"/>
    <x:cfRule type="containsText" dxfId="10" priority="11" operator="containsText" text="In Progress"/>
    <x:cfRule type="containsText" dxfId="11" priority="12" operator="containsText" text="In Review"/>
    <x:cfRule type="containsText" dxfId="12" priority="13" operator="containsText" text="Blocked"/>
    <x:cfRule type="containsText" dxfId="13" priority="14" operator="containsText" text="Failed"/>
    <x:cfRule type="containsText" dxfId="14" priority="15" operator="containsText" text="Not Started"/>
    <x:cfRule type="containsText" dxfId="15" priority="16" operator="containsText" text="Pending"/>
  </x:conditionalFormatting>
  <x:conditionalFormatting sqref="J6:J105">
    <x:cfRule type="containsText" dxfId="16" priority="17" operator="containsText" text="Done"/>
    <x:cfRule type="containsText" dxfId="17" priority="18" operator="containsText" text="Passed"/>
    <x:cfRule type="containsText" dxfId="18" priority="19" operator="containsText" text="In Progress"/>
    <x:cfRule type="containsText" dxfId="19" priority="20" operator="containsText" text="In Review"/>
    <x:cfRule type="containsText" dxfId="20" priority="21" operator="containsText" text="Blocked"/>
    <x:cfRule type="containsText" dxfId="21" priority="22" operator="containsText" text="Failed"/>
    <x:cfRule type="containsText" dxfId="22" priority="23" operator="containsText" text="Not Started"/>
    <x:cfRule type="containsText" dxfId="23" priority="24" operator="containsText" text="Pending"/>
  </x:conditionalFormatting>
  <x:conditionalFormatting sqref="K6:K105">
    <x:cfRule type="containsText" dxfId="24" priority="25" operator="containsText" text="Done"/>
    <x:cfRule type="containsText" dxfId="25" priority="26" operator="containsText" text="Passed"/>
    <x:cfRule type="containsText" dxfId="26" priority="27" operator="containsText" text="In Progress"/>
    <x:cfRule type="containsText" dxfId="27" priority="28" operator="containsText" text="In Review"/>
    <x:cfRule type="containsText" dxfId="28" priority="29" operator="containsText" text="Blocked"/>
    <x:cfRule type="containsText" dxfId="29" priority="30" operator="containsText" text="Failed"/>
    <x:cfRule type="containsText" dxfId="30" priority="31" operator="containsText" text="Not Started"/>
    <x:cfRule type="containsText" dxfId="31" priority="32" operator="containsText" text="Pending"/>
  </x:conditionalFormatting>
  <x:dataValidations count="7">
    <x:dataValidation type="list" sqref="E6:E105">
      <x:formula1>"Not Started,Ready,In Progress,Blocked,In Review,Done"</x:formula1>
    </x:dataValidation>
    <x:dataValidation type="list" sqref="F6:F105">
      <x:formula1>"Critical,High,Medium,Low"</x:formula1>
    </x:dataValidation>
    <x:dataValidation type="list" sqref="I6:I105">
      <x:formula1>"Not Needed,Pending,Passed,Failed,Blocked"</x:formula1>
    </x:dataValidation>
    <x:dataValidation type="list" sqref="J6:J105">
      <x:formula1>"Not Needed,Pending,Passed,Failed,Blocked"</x:formula1>
    </x:dataValidation>
    <x:dataValidation type="list" sqref="K6:K105">
      <x:formula1>"Not Needed,Pending,Passed,Failed,Blocked"</x:formula1>
    </x:dataValidation>
    <x:dataValidation type="list" sqref="E6:E200">
      <x:formula1>"Not Started,In Progress,Blocked,In Review,Done"</x:formula1>
    </x:dataValidation>
    <x:dataValidation type="list" sqref="F6:F200">
      <x:formula1>"Low,Medium,High,Critical"</x:formula1>
    </x:dataValidation>
  </x:dataValidations>
  <x:pageMargins left="0.7" right="0.7" top="0.75" bottom="0.75" header="0.3" footer="0.3"/>
  <x:tableParts count="1">
    <x:tablePart xmlns:r="http://schemas.openxmlformats.org/officeDocument/2006/relationships" r:id="R1272a6b6a18e4ad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2" hidden="0" customWidth="1"/>
    <x:col min="4" max="4" width="24" hidden="0" customWidth="1"/>
    <x:col min="5" max="5" width="34" hidden="0" customWidth="1"/>
    <x:col min="6" max="6" width="20" hidden="0" customWidth="1"/>
    <x:col min="7" max="7" width="22" hidden="0" customWidth="1"/>
    <x:col min="8" max="8" width="30" hidden="0" customWidth="1"/>
    <x:col min="9" max="9" width="20" hidden="0" customWidth="1"/>
    <x:col min="10" max="10" width="26" hidden="0" customWidth="1"/>
    <x:col min="11" max="11" width="20" hidden="0" customWidth="1"/>
    <x:col min="12" max="12" width="26" hidden="0" customWidth="1"/>
    <x:col min="13" max="13" width="14" hidden="0" customWidth="1"/>
    <x:col min="14" max="14" width="28" hidden="0" customWidth="1"/>
  </x:cols>
  <x:sheetData>
    <x:row r="1" ht="34" customHeight="1">
      <x:c r="A1" s="132" t="str">
        <x:v>Activity Log</x:v>
      </x:c>
      <x:c r="B1" s="132" t="str">
        <x:v>Activity Log</x:v>
      </x:c>
      <x:c r="C1" s="132" t="str">
        <x:v>Activity Log</x:v>
      </x:c>
      <x:c r="D1" s="132" t="str">
        <x:v>Activity Log</x:v>
      </x:c>
      <x:c r="E1" s="132" t="str">
        <x:v>Activity Log</x:v>
      </x:c>
      <x:c r="F1" s="132" t="str">
        <x:v>Activity Log</x:v>
      </x:c>
      <x:c r="G1" s="132" t="str">
        <x:v>Activity Log</x:v>
      </x:c>
      <x:c r="H1" s="132" t="str">
        <x:v>Activity Log</x:v>
      </x:c>
      <x:c r="I1" s="132" t="str">
        <x:v>Activity Log</x:v>
      </x:c>
      <x:c r="J1" s="132" t="str">
        <x:v>Activity Log</x:v>
      </x:c>
      <x:c r="K1" s="132" t="str">
        <x:v>Activity Log</x:v>
      </x:c>
      <x:c r="L1" s="132" t="str">
        <x:v>Activity Log</x:v>
      </x:c>
      <x:c r="M1" s="132" t="str">
        <x:v>Activity Log</x:v>
      </x:c>
      <x:c r="N1" s="132" t="str">
        <x:v>Activity Log</x:v>
      </x:c>
    </x:row>
    <x:row r="2" ht="32" customHeight="1">
      <x:c r="A2" s="7" t="str">
        <x:v>Tracks every meaningful action or checkpoint that moves a task toward its goal. Log decisions, implementation steps, verification, evidence, blockers, and next steps—not every click.</x:v>
      </x:c>
      <x:c r="B2" s="7" t="str">
        <x:v>Tracks every meaningful action or checkpoint that moves a task toward its goal. Log decisions, implementation steps, verification, evidence, blockers, and next steps—not every click.</x:v>
      </x:c>
      <x:c r="C2" s="7" t="str">
        <x:v>Tracks every meaningful action or checkpoint that moves a task toward its goal. Log decisions, implementation steps, verification, evidence, blockers, and next steps—not every click.</x:v>
      </x:c>
      <x:c r="D2" s="7" t="str">
        <x:v>Tracks every meaningful action or checkpoint that moves a task toward its goal. Log decisions, implementation steps, verification, evidence, blockers, and next steps—not every click.</x:v>
      </x:c>
      <x:c r="E2" s="7" t="str">
        <x:v>Tracks every meaningful action or checkpoint that moves a task toward its goal. Log decisions, implementation steps, verification, evidence, blockers, and next steps—not every click.</x:v>
      </x:c>
      <x:c r="F2" s="7" t="str">
        <x:v>Tracks every meaningful action or checkpoint that moves a task toward its goal. Log decisions, implementation steps, verification, evidence, blockers, and next steps—not every click.</x:v>
      </x:c>
      <x:c r="G2" s="7" t="str">
        <x:v>Tracks every meaningful action or checkpoint that moves a task toward its goal. Log decisions, implementation steps, verification, evidence, blockers, and next steps—not every click.</x:v>
      </x:c>
      <x:c r="H2" s="7" t="str">
        <x:v>Tracks every meaningful action or checkpoint that moves a task toward its goal. Log decisions, implementation steps, verification, evidence, blockers, and next steps—not every click.</x:v>
      </x:c>
      <x:c r="I2" s="7" t="str">
        <x:v>Tracks every meaningful action or checkpoint that moves a task toward its goal. Log decisions, implementation steps, verification, evidence, blockers, and next steps—not every click.</x:v>
      </x:c>
      <x:c r="J2" s="7" t="str">
        <x:v>Tracks every meaningful action or checkpoint that moves a task toward its goal. Log decisions, implementation steps, verification, evidence, blockers, and next steps—not every click.</x:v>
      </x:c>
      <x:c r="K2" s="7" t="str">
        <x:v>Tracks every meaningful action or checkpoint that moves a task toward its goal. Log decisions, implementation steps, verification, evidence, blockers, and next steps—not every click.</x:v>
      </x:c>
      <x:c r="L2" s="7" t="str">
        <x:v>Tracks every meaningful action or checkpoint that moves a task toward its goal. Log decisions, implementation steps, verification, evidence, blockers, and next steps—not every click.</x:v>
      </x:c>
      <x:c r="M2" s="7" t="str">
        <x:v>Tracks every meaningful action or checkpoint that moves a task toward its goal. Log decisions, implementation steps, verification, evidence, blockers, and next steps—not every click.</x:v>
      </x:c>
      <x:c r="N2" s="7" t="str">
        <x:v>Tracks every meaningful action or checkpoint that moves a task toward its goal. Log decisions, implementation steps, verification, evidence, blockers, and next steps—not every click.</x:v>
      </x:c>
    </x:row>
    <x:row r="3">
      <x:c r="A3" s="133"/>
      <x:c r="B3" s="133"/>
      <x:c r="C3" s="133"/>
      <x:c r="D3" s="133"/>
      <x:c r="E3" s="133"/>
      <x:c r="F3" s="133"/>
      <x:c r="G3" s="133"/>
      <x:c r="H3" s="133"/>
      <x:c r="I3" s="133"/>
      <x:c r="J3" s="133"/>
      <x:c r="K3" s="133"/>
      <x:c r="L3" s="133"/>
      <x:c r="M3" s="133"/>
      <x:c r="N3" s="133"/>
    </x:row>
    <x:row r="4">
      <x:c r="A4" s="133"/>
      <x:c r="B4" s="133"/>
      <x:c r="C4" s="133"/>
      <x:c r="D4" s="133"/>
      <x:c r="E4" s="133"/>
      <x:c r="F4" s="133"/>
      <x:c r="G4" s="133"/>
      <x:c r="H4" s="133"/>
      <x:c r="I4" s="133"/>
      <x:c r="J4" s="133"/>
      <x:c r="K4" s="133"/>
      <x:c r="L4" s="133"/>
      <x:c r="M4" s="133"/>
      <x:c r="N4" s="133"/>
    </x:row>
    <x:row r="5" ht="15" hidden="0" customHeight="1">
      <x:c r="A5" s="160" t="str">
        <x:v>Log ID</x:v>
      </x:c>
      <x:c r="B5" s="161" t="str">
        <x:v>Timestamp</x:v>
      </x:c>
      <x:c r="C5" s="161" t="str">
        <x:v>Task ID</x:v>
      </x:c>
      <x:c r="D5" s="161" t="str">
        <x:v>Goal / Step</x:v>
      </x:c>
      <x:c r="E5" s="161" t="str">
        <x:v>Action Taken</x:v>
      </x:c>
      <x:c r="F5" s="161" t="str">
        <x:v>Surface / Tool</x:v>
      </x:c>
      <x:c r="G5" s="161" t="str">
        <x:v>Result</x:v>
      </x:c>
      <x:c r="H5" s="161" t="str">
        <x:v>Validation Performed</x:v>
      </x:c>
      <x:c r="I5" s="161" t="str">
        <x:v>Device / Viewport</x:v>
      </x:c>
      <x:c r="J5" s="161" t="str">
        <x:v>Evidence / Link</x:v>
      </x:c>
      <x:c r="K5" s="161" t="str">
        <x:v>Commit / Push</x:v>
      </x:c>
      <x:c r="L5" s="161" t="str">
        <x:v>Next Step</x:v>
      </x:c>
      <x:c r="M5" s="161" t="str">
        <x:v>Status</x:v>
      </x:c>
      <x:c r="N5" s="162" t="str">
        <x:v>Notes</x:v>
      </x:c>
    </x:row>
    <x:row r="6" ht="24" hidden="0" customHeight="1">
      <x:c r="A6" s="113" t="str">
        <x:v>AL-001</x:v>
      </x:c>
      <x:c r="B6" s="163" t="n">
        <x:v>46215.22671430556</x:v>
      </x:c>
      <x:c r="C6" s="113" t="str">
        <x:v>T-001</x:v>
      </x:c>
      <x:c r="D6" s="113" t="str">
        <x:v>Confirm preview scope</x:v>
      </x:c>
      <x:c r="E6" s="113" t="str">
        <x:v>Confirmed that this phase only creates the Excel tracker; project execution is intentionally deferred.</x:v>
      </x:c>
      <x:c r="F6" s="113" t="str">
        <x:v>Planning</x:v>
      </x:c>
      <x:c r="G6" s="113" t="str">
        <x:v>Scope locked</x:v>
      </x:c>
      <x:c r="H6" s="113" t="str">
        <x:v>Compared requested behavior with workbook plan.</x:v>
      </x:c>
      <x:c r="I6" s="113" t="str">
        <x:v>N/A</x:v>
      </x:c>
      <x:c r="J6" s="113" t="str"/>
      <x:c r="K6" s="113" t="str"/>
      <x:c r="L6" s="113" t="str">
        <x:v>Design workbook structure.</x:v>
      </x:c>
      <x:c r="M6" s="113" t="str">
        <x:v>Done</x:v>
      </x:c>
      <x:c r="N6" s="113" t="str">
        <x:v>No code or project delivery included.</x:v>
      </x:c>
    </x:row>
    <x:row r="7" ht="24" hidden="0" customHeight="1">
      <x:c r="A7" s="113" t="str">
        <x:v>AL-002</x:v>
      </x:c>
      <x:c r="B7" s="163" t="n">
        <x:v>46215.22671430556</x:v>
      </x:c>
      <x:c r="C7" s="113" t="str">
        <x:v>T-001</x:v>
      </x:c>
      <x:c r="D7" s="113" t="str">
        <x:v>Define tracker architecture</x:v>
      </x:c>
      <x:c r="E7" s="113" t="str">
        <x:v>Defined Overview, Task Tracker, Activity Log, QA Matrix, and Product Gaps tabs.</x:v>
      </x:c>
      <x:c r="F7" s="113" t="str">
        <x:v>Workbook design</x:v>
      </x:c>
      <x:c r="G7" s="113" t="str">
        <x:v>Five-tab structure established</x:v>
      </x:c>
      <x:c r="H7" s="113" t="str">
        <x:v>Checked each tab against the requested workflow.</x:v>
      </x:c>
      <x:c r="I7" s="113" t="str">
        <x:v>Desktop preview</x:v>
      </x:c>
      <x:c r="J7" s="113" t="str"/>
      <x:c r="K7" s="113" t="str"/>
      <x:c r="L7" s="113" t="str">
        <x:v>Build the task table and controls.</x:v>
      </x:c>
      <x:c r="M7" s="113" t="str">
        <x:v>Done</x:v>
      </x:c>
      <x:c r="N7" s="113" t="str">
        <x:v>Activity Log is a first-class tab.</x:v>
      </x:c>
    </x:row>
    <x:row r="8" ht="36" hidden="0" customHeight="1">
      <x:c r="A8" s="113" t="str">
        <x:v>AL-003</x:v>
      </x:c>
      <x:c r="B8" s="163" t="n">
        <x:v>46215.22671430556</x:v>
      </x:c>
      <x:c r="C8" s="113" t="str">
        <x:v>T-001</x:v>
      </x:c>
      <x:c r="D8" s="113" t="str">
        <x:v>Create task operating fields</x:v>
      </x:c>
      <x:c r="E8" s="113" t="str">
        <x:v>Added status, priority, ownership, acceptance criteria, validation, device coverage, evidence, blockers, notes, and commit/push fields.</x:v>
      </x:c>
      <x:c r="F8" s="113" t="str">
        <x:v>Task Tracker</x:v>
      </x:c>
      <x:c r="G8" s="113" t="str">
        <x:v>Task schema ready</x:v>
      </x:c>
      <x:c r="H8" s="113" t="str">
        <x:v>Reviewed fields for auditability and future editing.</x:v>
      </x:c>
      <x:c r="I8" s="113" t="str">
        <x:v>Desktop preview</x:v>
      </x:c>
      <x:c r="J8" s="113" t="str"/>
      <x:c r="K8" s="113" t="str"/>
      <x:c r="L8" s="113" t="str">
        <x:v>Add validation and status formatting.</x:v>
      </x:c>
      <x:c r="M8" s="113" t="str">
        <x:v>Done</x:v>
      </x:c>
      <x:c r="N8" s="113" t="str">
        <x:v>Designed for systematic task closure.</x:v>
      </x:c>
    </x:row>
    <x:row r="9" ht="36" hidden="0" customHeight="1">
      <x:c r="A9" s="113" t="str">
        <x:v>AL-004</x:v>
      </x:c>
      <x:c r="B9" s="163" t="n">
        <x:v>46215.22671430556</x:v>
      </x:c>
      <x:c r="C9" s="113" t="str">
        <x:v>T-001</x:v>
      </x:c>
      <x:c r="D9" s="113" t="str">
        <x:v>Create activity audit trail</x:v>
      </x:c>
      <x:c r="E9" s="113" t="str">
        <x:v>Added structured logging fields for meaningful steps, tools, results, validation, evidence, next steps, and status.</x:v>
      </x:c>
      <x:c r="F9" s="113" t="str">
        <x:v>Activity Log</x:v>
      </x:c>
      <x:c r="G9" s="113" t="str">
        <x:v>Logging workflow ready</x:v>
      </x:c>
      <x:c r="H9" s="113" t="str">
        <x:v>Verified the log can connect actions back to Task IDs.</x:v>
      </x:c>
      <x:c r="I9" s="113" t="str">
        <x:v>Desktop preview</x:v>
      </x:c>
      <x:c r="J9" s="113" t="str"/>
      <x:c r="K9" s="113" t="str"/>
      <x:c r="L9" s="113" t="str">
        <x:v>Add device and browser QA coverage.</x:v>
      </x:c>
      <x:c r="M9" s="113" t="str">
        <x:v>Done</x:v>
      </x:c>
      <x:c r="N9" s="113" t="str">
        <x:v>Tracks progress toward goals rather than low-value clicks.</x:v>
      </x:c>
    </x:row>
    <x:row r="10" ht="36" hidden="0" customHeight="1">
      <x:c r="A10" s="113" t="str">
        <x:v>AL-005</x:v>
      </x:c>
      <x:c r="B10" s="163" t="n">
        <x:v>46215.22671430556</x:v>
      </x:c>
      <x:c r="C10" s="113" t="str">
        <x:v>T-001</x:v>
      </x:c>
      <x:c r="D10" s="113" t="str">
        <x:v>Create device validation matrix</x:v>
      </x:c>
      <x:c r="E10" s="113" t="str">
        <x:v>Added desktop, laptop, tablet, mobile, and small-mobile coverage with browser/simulator fields.</x:v>
      </x:c>
      <x:c r="F10" s="113" t="str">
        <x:v>QA Matrix</x:v>
      </x:c>
      <x:c r="G10" s="113" t="str">
        <x:v>Baseline coverage ready</x:v>
      </x:c>
      <x:c r="H10" s="113" t="str">
        <x:v>Checked that each QA row can link to a Task ID and evidence.</x:v>
      </x:c>
      <x:c r="I10" s="113" t="str">
        <x:v>Multiple planned sizes</x:v>
      </x:c>
      <x:c r="J10" s="113" t="str"/>
      <x:c r="K10" s="113" t="str"/>
      <x:c r="L10" s="113" t="str">
        <x:v>Add product and design gap capture.</x:v>
      </x:c>
      <x:c r="M10" s="113" t="str">
        <x:v>Done</x:v>
      </x:c>
      <x:c r="N10" s="113" t="str">
        <x:v>Device checks can be expanded per task.</x:v>
      </x:c>
    </x:row>
    <x:row r="11" ht="36" hidden="0" customHeight="1">
      <x:c r="A11" s="113" t="str">
        <x:v>AL-006</x:v>
      </x:c>
      <x:c r="B11" s="163" t="n">
        <x:v>46215.22671430556</x:v>
      </x:c>
      <x:c r="C11" s="113" t="str">
        <x:v>T-001</x:v>
      </x:c>
      <x:c r="D11" s="113" t="str">
        <x:v>Create gap backlog</x:v>
      </x:c>
      <x:c r="E11" s="113" t="str">
        <x:v>Added a structured backlog for design, product, accessibility, performance, content, and technical gaps.</x:v>
      </x:c>
      <x:c r="F11" s="113" t="str">
        <x:v>Product Gaps</x:v>
      </x:c>
      <x:c r="G11" s="113" t="str">
        <x:v>Gap workflow ready</x:v>
      </x:c>
      <x:c r="H11" s="113" t="str">
        <x:v>Verified gaps can be promoted into future Task IDs.</x:v>
      </x:c>
      <x:c r="I11" s="113" t="str">
        <x:v>N/A</x:v>
      </x:c>
      <x:c r="J11" s="113" t="str"/>
      <x:c r="K11" s="113" t="str"/>
      <x:c r="L11" s="113" t="str">
        <x:v>Render and inspect all tabs.</x:v>
      </x:c>
      <x:c r="M11" s="113" t="str">
        <x:v>Done</x:v>
      </x:c>
      <x:c r="N11" s="113" t="str">
        <x:v>No actual gaps recorded because the project has not started.</x:v>
      </x:c>
    </x:row>
    <x:row r="12" ht="24" hidden="0" customHeight="1">
      <x:c r="A12" s="113" t="str">
        <x:v>AL-007</x:v>
      </x:c>
      <x:c r="B12" s="163" t="n">
        <x:v>46215.22671430556</x:v>
      </x:c>
      <x:c r="C12" s="113" t="str">
        <x:v>T-001</x:v>
      </x:c>
      <x:c r="D12" s="113" t="str">
        <x:v>Prepare preview for review</x:v>
      </x:c>
      <x:c r="E12" s="113" t="str">
        <x:v>Built summary formulas, validations, conditional formatting, freeze panes, and review instructions.</x:v>
      </x:c>
      <x:c r="F12" s="113" t="str">
        <x:v>Workbook QA</x:v>
      </x:c>
      <x:c r="G12" s="113" t="str">
        <x:v>Preview prepared</x:v>
      </x:c>
      <x:c r="H12" s="113" t="str">
        <x:v>Final render and formula checks occur before delivery.</x:v>
      </x:c>
      <x:c r="I12" s="113" t="str">
        <x:v>Desktop preview</x:v>
      </x:c>
      <x:c r="J12" s="113" t="str"/>
      <x:c r="K12" s="113" t="str"/>
      <x:c r="L12" s="113" t="str">
        <x:v>Approve tracker, then import real project tasks.</x:v>
      </x:c>
      <x:c r="M12" s="113" t="str">
        <x:v>In Review</x:v>
      </x:c>
      <x:c r="N12" s="113" t="str">
        <x:v>Final status remains In Review until user approval.</x:v>
      </x:c>
    </x:row>
    <x:row r="13" ht="39.599998474121094" hidden="0" customHeight="1">
      <x:c r="A13" s="166" t="str">
        <x:v>AL-008</x:v>
      </x:c>
      <x:c r="B13" s="167" t="n">
        <x:v>46215.27099571759</x:v>
      </x:c>
      <x:c r="C13" s="166" t="str">
        <x:v>T-002</x:v>
      </x:c>
      <x:c r="D13" s="166" t="str">
        <x:v>Protect existing work</x:v>
      </x:c>
      <x:c r="E13" s="166" t="str">
        <x:v>Detected the original repo's dirty worktree and created a clean worktree from fetched origin/main.</x:v>
      </x:c>
      <x:c r="F13" s="166" t="str">
        <x:v>Git / repo audit</x:v>
      </x:c>
      <x:c r="G13" s="166" t="str">
        <x:v>Clean branch created</x:v>
      </x:c>
      <x:c r="H13" s="166" t="str">
        <x:v>Verified origin/main at bb6f5cf and left user changes untouched.</x:v>
      </x:c>
      <x:c r="I13" s="166" t="str">
        <x:v>N/A</x:v>
      </x:c>
      <x:c r="J13" s="166" t="str">
        <x:v>/private/tmp/pestflow-desktop-qa-guardian</x:v>
      </x:c>
      <x:c r="K13" s="166" t="str">
        <x:v>codex/desktop-qa-guardian</x:v>
      </x:c>
      <x:c r="L13" s="166" t="str">
        <x:v>Audit workflows and recent runs.</x:v>
      </x:c>
      <x:c r="M13" s="166" t="str">
        <x:v>Done</x:v>
      </x:c>
      <x:c r="N13" s="166" t="str">
        <x:v>Original dirty worktree was preserved.</x:v>
      </x:c>
    </x:row>
    <x:row r="14" ht="39.599998474121094" hidden="0" customHeight="1">
      <x:c r="A14" s="166" t="str">
        <x:v>AL-009</x:v>
      </x:c>
      <x:c r="B14" s="167" t="n">
        <x:v>46215.27099571759</x:v>
      </x:c>
      <x:c r="C14" s="166" t="str">
        <x:v>T-002</x:v>
      </x:c>
      <x:c r="D14" s="166" t="str">
        <x:v>Find false-red causes</x:v>
      </x:c>
      <x:c r="E14" s="166" t="str">
        <x:v>Inspected recent GitHub Actions failures and found passing product tests marked red by artifact quota failures.</x:v>
      </x:c>
      <x:c r="F14" s="166" t="str">
        <x:v>GitHub Actions evidence</x:v>
      </x:c>
      <x:c r="G14" s="166" t="str">
        <x:v>Failure mode confirmed</x:v>
      </x:c>
      <x:c r="H14" s="166" t="str">
        <x:v>Compared failed steps and logs for Mobile Crash Watchdog and Mobile Auth Onboarding.</x:v>
      </x:c>
      <x:c r="I14" s="166" t="str">
        <x:v>N/A</x:v>
      </x:c>
      <x:c r="J14" s="166" t="str">
        <x:v>Recent workflow runs 29180099833 and 29179936027</x:v>
      </x:c>
      <x:c r="K14" s="166"/>
      <x:c r="L14" s="166" t="str">
        <x:v>Implement evidence classification.</x:v>
      </x:c>
      <x:c r="M14" s="166" t="str">
        <x:v>Done</x:v>
      </x:c>
      <x:c r="N14" s="166" t="str">
        <x:v>The repair handoff was reacting to infrastructure noise.</x:v>
      </x:c>
    </x:row>
    <x:row r="15" ht="39.599998474121094" hidden="0" customHeight="1">
      <x:c r="A15" s="166" t="str">
        <x:v>AL-010</x:v>
      </x:c>
      <x:c r="B15" s="167" t="n">
        <x:v>46215.27099571759</x:v>
      </x:c>
      <x:c r="C15" s="166" t="str">
        <x:v>T-004</x:v>
      </x:c>
      <x:c r="D15" s="166" t="str">
        <x:v>Build failure classifier</x:v>
      </x:c>
      <x:c r="E15" s="166" t="str">
        <x:v>Added workflow metadata/log classification and stable incident fingerprints.</x:v>
      </x:c>
      <x:c r="F15" s="166" t="str">
        <x:v>Node tests</x:v>
      </x:c>
      <x:c r="G15" s="166" t="str">
        <x:v>Signal classifier implemented</x:v>
      </x:c>
      <x:c r="H15" s="166" t="str">
        <x:v>12 incident/classifier tests include exact quota-only and product-failure cases.</x:v>
      </x:c>
      <x:c r="I15" s="166" t="str">
        <x:v>N/A</x:v>
      </x:c>
      <x:c r="J15" s="166" t="str">
        <x:v>/private/tmp/pestflow-desktop-qa-guardian/scripts/lib/qa-failure-classifier.mjs</x:v>
      </x:c>
      <x:c r="K15" s="166" t="str">
        <x:v>codex/desktop-qa-guardian</x:v>
      </x:c>
      <x:c r="L15" s="166" t="str">
        <x:v>Integrate dedupe into handoff.</x:v>
      </x:c>
      <x:c r="M15" s="166" t="str">
        <x:v>Done</x:v>
      </x:c>
      <x:c r="N15" s="166" t="str">
        <x:v>Unknown failures require human triage.</x:v>
      </x:c>
    </x:row>
    <x:row r="16" ht="39.599998474121094" hidden="0" customHeight="1">
      <x:c r="A16" s="166" t="str">
        <x:v>AL-011</x:v>
      </x:c>
      <x:c r="B16" s="167" t="n">
        <x:v>46215.27099571759</x:v>
      </x:c>
      <x:c r="C16" s="166" t="str">
        <x:v>T-005</x:v>
      </x:c>
      <x:c r="D16" s="166" t="str">
        <x:v>Stop duplicate repairs</x:v>
      </x:c>
      <x:c r="E16" s="166" t="str">
        <x:v>Replaced date/run-based branches with stable incident branches and existing-PR occurrence comments.</x:v>
      </x:c>
      <x:c r="F16" s="166" t="str">
        <x:v>GitHub workflow</x:v>
      </x:c>
      <x:c r="G16" s="166" t="str">
        <x:v>Dedupe implemented</x:v>
      </x:c>
      <x:c r="H16" s="166" t="str">
        <x:v>Verified fingerprints ignore timestamps, run ids, and URLs.</x:v>
      </x:c>
      <x:c r="I16" s="166" t="str">
        <x:v>N/A</x:v>
      </x:c>
      <x:c r="J16" s="166" t="str">
        <x:v>/private/tmp/pestflow-desktop-qa-guardian/.github/workflows/qa-codex-staging-repair.yml</x:v>
      </x:c>
      <x:c r="K16" s="166" t="str">
        <x:v>codex/desktop-qa-guardian</x:v>
      </x:c>
      <x:c r="L16" s="166" t="str">
        <x:v>Build Guardian foundation.</x:v>
      </x:c>
      <x:c r="M16" s="166" t="str">
        <x:v>Done</x:v>
      </x:c>
      <x:c r="N16" s="166" t="str">
        <x:v>First occurrence emails; repeats update the same repair.</x:v>
      </x:c>
    </x:row>
    <x:row r="17" ht="26.399999618530273" hidden="0" customHeight="1">
      <x:c r="A17" s="166" t="str">
        <x:v>AL-012</x:v>
      </x:c>
      <x:c r="B17" s="167" t="n">
        <x:v>46215.27099571759</x:v>
      </x:c>
      <x:c r="C17" s="166" t="str">
        <x:v>T-003</x:v>
      </x:c>
      <x:c r="D17" s="166" t="str">
        <x:v>Install browser QA runtime</x:v>
      </x:c>
      <x:c r="E17" s="166" t="str">
        <x:v>Added Stagehand 3.6.0 and Browserbase SDK 2.15.0 as development dependencies.</x:v>
      </x:c>
      <x:c r="F17" s="166" t="str">
        <x:v>npm / SDK</x:v>
      </x:c>
      <x:c r="G17" s="166" t="str">
        <x:v>Runtime installed</x:v>
      </x:c>
      <x:c r="H17" s="166" t="str">
        <x:v>Imported both packages successfully in Node 22.</x:v>
      </x:c>
      <x:c r="I17" s="166" t="str">
        <x:v>N/A</x:v>
      </x:c>
      <x:c r="J17" s="166" t="str">
        <x:v>/private/tmp/pestflow-desktop-qa-guardian/package.json</x:v>
      </x:c>
      <x:c r="K17" s="166" t="str">
        <x:v>codex/desktop-qa-guardian</x:v>
      </x:c>
      <x:c r="L17" s="166" t="str">
        <x:v>Define journeys and policy.</x:v>
      </x:c>
      <x:c r="M17" s="166" t="str">
        <x:v>Done</x:v>
      </x:c>
      <x:c r="N17" s="166" t="str">
        <x:v>No forced dependency audit rewrite was applied.</x:v>
      </x:c>
    </x:row>
    <x:row r="18" ht="39.599998474121094" hidden="0" customHeight="1">
      <x:c r="A18" s="166" t="str">
        <x:v>AL-013</x:v>
      </x:c>
      <x:c r="B18" s="167" t="n">
        <x:v>46215.27099571759</x:v>
      </x:c>
      <x:c r="C18" s="166" t="str">
        <x:v>T-006</x:v>
      </x:c>
      <x:c r="D18" s="166" t="str">
        <x:v>Create desktop journey registry</x:v>
      </x:c>
      <x:c r="E18" s="166" t="str">
        <x:v>Defined five semantic journeys, personas, read-only safety policy, four viewports, and route delegations.</x:v>
      </x:c>
      <x:c r="F18" s="166" t="str">
        <x:v>Guardian registry</x:v>
      </x:c>
      <x:c r="G18" s="166" t="str">
        <x:v>12-session matrix ready</x:v>
      </x:c>
      <x:c r="H18" s="166" t="str">
        <x:v>Route-coverage test proves every static desktop route is covered or delegated.</x:v>
      </x:c>
      <x:c r="I18" s="166" t="str">
        <x:v>1440; 1280; 1920; 1024</x:v>
      </x:c>
      <x:c r="J18" s="166" t="str">
        <x:v>/private/tmp/pestflow-desktop-qa-guardian/qa/guardian/desktop-journeys.json</x:v>
      </x:c>
      <x:c r="K18" s="166" t="str">
        <x:v>codex/desktop-qa-guardian</x:v>
      </x:c>
      <x:c r="L18" s="166" t="str">
        <x:v>Implement runner and evidence.</x:v>
      </x:c>
      <x:c r="M18" s="166" t="str">
        <x:v>Done</x:v>
      </x:c>
      <x:c r="N18" s="166" t="str">
        <x:v>Destructive production actions are forbidden.</x:v>
      </x:c>
    </x:row>
    <x:row r="19" ht="52.79999923706055" hidden="0" customHeight="1">
      <x:c r="A19" s="166" t="str">
        <x:v>AL-014</x:v>
      </x:c>
      <x:c r="B19" s="167" t="n">
        <x:v>46215.27099571759</x:v>
      </x:c>
      <x:c r="C19" s="166" t="str">
        <x:v>T-003</x:v>
      </x:c>
      <x:c r="D19" s="166" t="str">
        <x:v>Implement Stagehand runner</x:v>
      </x:c>
      <x:c r="E19" s="166" t="str">
        <x:v>Added Browserbase sessions, persistent context support, semantic extract/observe, screenshots, console errors, history, metrics, replays, and summaries.</x:v>
      </x:c>
      <x:c r="F19" s="166" t="str">
        <x:v>Stagehand / Browserbase</x:v>
      </x:c>
      <x:c r="G19" s="166" t="str">
        <x:v>Runner implemented</x:v>
      </x:c>
      <x:c r="H19" s="166" t="str">
        <x:v>Full dry run selects all 12 matrix entries; installed SDK types were checked.</x:v>
      </x:c>
      <x:c r="I19" s="166" t="str">
        <x:v>All registry sizes</x:v>
      </x:c>
      <x:c r="J19" s="166" t="str">
        <x:v>/private/tmp/pestflow-desktop-qa-guardian/scripts/qa-guardian-stagehand.mjs</x:v>
      </x:c>
      <x:c r="K19" s="166" t="str">
        <x:v>codex/desktop-qa-guardian</x:v>
      </x:c>
      <x:c r="L19" s="166" t="str">
        <x:v>Add scheduled workflow and incident parser.</x:v>
      </x:c>
      <x:c r="M19" s="166" t="str">
        <x:v>Done</x:v>
      </x:c>
      <x:c r="N19" s="166" t="str">
        <x:v>Production writes remain disabled.</x:v>
      </x:c>
    </x:row>
    <x:row r="20" ht="39.599998474121094" hidden="0" customHeight="1">
      <x:c r="A20" s="166" t="str">
        <x:v>AL-015</x:v>
      </x:c>
      <x:c r="B20" s="167" t="n">
        <x:v>46215.27099571759</x:v>
      </x:c>
      <x:c r="C20" s="166" t="str">
        <x:v>T-003</x:v>
      </x:c>
      <x:c r="D20" s="166" t="str">
        <x:v>Schedule continuous semantic QA</x:v>
      </x:c>
      <x:c r="E20" s="166" t="str">
        <x:v>Added hourly tier-0, nightly full, and manual Guardian workflow with secret preflight and non-blocking artifact upload.</x:v>
      </x:c>
      <x:c r="F20" s="166" t="str">
        <x:v>GitHub Actions</x:v>
      </x:c>
      <x:c r="G20" s="166" t="str">
        <x:v>Workflow implemented</x:v>
      </x:c>
      <x:c r="H20" s="166" t="str">
        <x:v>All workflow YAML files parse successfully.</x:v>
      </x:c>
      <x:c r="I20" s="166" t="str">
        <x:v>1440 hourly; full nightly</x:v>
      </x:c>
      <x:c r="J20" s="166" t="str">
        <x:v>/private/tmp/pestflow-desktop-qa-guardian/.github/workflows/desktop-stagehand-guardian.yml</x:v>
      </x:c>
      <x:c r="K20" s="166" t="str">
        <x:v>codex/desktop-qa-guardian</x:v>
      </x:c>
      <x:c r="L20" s="166" t="str">
        <x:v>Expand deterministic desktop checks.</x:v>
      </x:c>
      <x:c r="M20" s="166" t="str">
        <x:v>Done</x:v>
      </x:c>
      <x:c r="N20" s="166" t="str">
        <x:v>Missing setup is reported without a false product repair.</x:v>
      </x:c>
    </x:row>
    <x:row r="21" ht="52.79999923706055" hidden="0" customHeight="1">
      <x:c r="A21" s="166" t="str">
        <x:v>AL-016</x:v>
      </x:c>
      <x:c r="B21" s="167" t="n">
        <x:v>46215.27099571759</x:v>
      </x:c>
      <x:c r="C21" s="166" t="str">
        <x:v>T-007</x:v>
      </x:c>
      <x:c r="D21" s="166" t="str">
        <x:v>Add responsive operating-desk oracle</x:v>
      </x:c>
      <x:c r="E21" s="166" t="str">
        <x:v>Added dashboard/customers/jobs/invoices/reports checks at 1440, 1280, and 1024 with overflow and fatal-console assertions.</x:v>
      </x:c>
      <x:c r="F21" s="166" t="str">
        <x:v>Playwright</x:v>
      </x:c>
      <x:c r="G21" s="166" t="str">
        <x:v>Desktop suite expanded to 8 scenarios</x:v>
      </x:c>
      <x:c r="H21" s="166" t="str">
        <x:v>Playwright list confirms all eight tests.</x:v>
      </x:c>
      <x:c r="I21" s="166" t="str">
        <x:v>1440×900; 1280×800; 1024×768</x:v>
      </x:c>
      <x:c r="J21" s="166" t="str">
        <x:v>/private/tmp/pestflow-desktop-qa-guardian/e2e/desktop-critical-workflows.spec.ts</x:v>
      </x:c>
      <x:c r="K21" s="166" t="str">
        <x:v>codex/desktop-qa-guardian</x:v>
      </x:c>
      <x:c r="L21" s="166" t="str">
        <x:v>Run against production.</x:v>
      </x:c>
      <x:c r="M21" s="166" t="str">
        <x:v>Done</x:v>
      </x:c>
      <x:c r="N21" s="166" t="str">
        <x:v>Uses synthetic QA tenants and serial shared state.</x:v>
      </x:c>
    </x:row>
    <x:row r="22" ht="39.599998474121094" hidden="0" customHeight="1">
      <x:c r="A22" s="166" t="str">
        <x:v>AL-017</x:v>
      </x:c>
      <x:c r="B22" s="167" t="n">
        <x:v>46215.27099571759</x:v>
      </x:c>
      <x:c r="C22" s="166" t="str">
        <x:v>T-007</x:v>
      </x:c>
      <x:c r="D22" s="166" t="str">
        <x:v>Verify deployed production desktop</x:v>
      </x:c>
      <x:c r="E22" s="166" t="str">
        <x:v>Ran the full desktop critical suite against new.pestflow.org and api.pestflow.org.</x:v>
      </x:c>
      <x:c r="F22" s="166" t="str">
        <x:v>Production Playwright</x:v>
      </x:c>
      <x:c r="G22" s="166" t="str">
        <x:v>8/8 passed</x:v>
      </x:c>
      <x:c r="H22" s="166" t="str">
        <x:v>Auth, onboarding, CRUD, tenancy, roles, invoice, scheduling, and viewport tests passed.</x:v>
      </x:c>
      <x:c r="I22" s="166" t="str">
        <x:v>1440×900; 1280×800; 1024×768</x:v>
      </x:c>
      <x:c r="J22" s="166" t="str">
        <x:v>https://new.pestflow.org</x:v>
      </x:c>
      <x:c r="K22" s="166"/>
      <x:c r="L22" s="166" t="str">
        <x:v>Add change-aware release gate.</x:v>
      </x:c>
      <x:c r="M22" s="166" t="str">
        <x:v>Done</x:v>
      </x:c>
      <x:c r="N22" s="166" t="str">
        <x:v>Run duration 1.9 minutes.</x:v>
      </x:c>
    </x:row>
    <x:row r="23" ht="39.599998474121094" hidden="0" customHeight="1">
      <x:c r="A23" s="166" t="str">
        <x:v>AL-018</x:v>
      </x:c>
      <x:c r="B23" s="167" t="n">
        <x:v>46215.27099571759</x:v>
      </x:c>
      <x:c r="C23" s="166" t="str">
        <x:v>T-008</x:v>
      </x:c>
      <x:c r="D23" s="166" t="str">
        <x:v>Map changes to risk</x:v>
      </x:c>
      <x:c r="E23" s="166" t="str">
        <x:v>Added source-file blast-radius rules selecting exact journeys and deterministic checks.</x:v>
      </x:c>
      <x:c r="F23" s="166" t="str">
        <x:v>Risk selector</x:v>
      </x:c>
      <x:c r="G23" s="166" t="str">
        <x:v>Change-aware coverage implemented</x:v>
      </x:c>
      <x:c r="H23" s="166" t="str">
        <x:v>Customer, shared-shell, glob, and docs-only selection tests pass.</x:v>
      </x:c>
      <x:c r="I23" s="166" t="str">
        <x:v>Risk-selected</x:v>
      </x:c>
      <x:c r="J23" s="166" t="str">
        <x:v>/private/tmp/pestflow-desktop-qa-guardian/qa/guardian/change-map.json</x:v>
      </x:c>
      <x:c r="K23" s="166" t="str">
        <x:v>codex/desktop-qa-guardian</x:v>
      </x:c>
      <x:c r="L23" s="166" t="str">
        <x:v>Centralize release verdict.</x:v>
      </x:c>
      <x:c r="M23" s="166" t="str">
        <x:v>Done</x:v>
      </x:c>
      <x:c r="N23" s="166" t="str">
        <x:v>Unmatched files remain visible in evidence.</x:v>
      </x:c>
    </x:row>
    <x:row r="24" ht="52.79999923706055" hidden="0" customHeight="1">
      <x:c r="A24" s="166" t="str">
        <x:v>AL-019</x:v>
      </x:c>
      <x:c r="B24" s="167" t="n">
        <x:v>46215.27099571759</x:v>
      </x:c>
      <x:c r="C24" s="166" t="str">
        <x:v>T-008</x:v>
      </x:c>
      <x:c r="D24" s="166" t="str">
        <x:v>Create candidate release gate</x:v>
      </x:c>
      <x:c r="E24" s="166" t="str">
        <x:v>Added reusable/manual candidate workflow and centralized evidence policy.</x:v>
      </x:c>
      <x:c r="F24" s="166" t="str">
        <x:v>GitHub Actions</x:v>
      </x:c>
      <x:c r="G24" s="166" t="str">
        <x:v>Promotion gate implemented</x:v>
      </x:c>
      <x:c r="H24" s="166" t="str">
        <x:v>Policy tests cover green evidence, missing Browserbase, missing screenshots/replays, skips, failures, and slow UI.</x:v>
      </x:c>
      <x:c r="I24" s="166" t="str">
        <x:v>Selected per change</x:v>
      </x:c>
      <x:c r="J24" s="166" t="str">
        <x:v>/private/tmp/pestflow-desktop-qa-guardian/qa/guardian/quality-policy.json</x:v>
      </x:c>
      <x:c r="K24" s="166" t="str">
        <x:v>codex/desktop-qa-guardian</x:v>
      </x:c>
      <x:c r="L24" s="166" t="str">
        <x:v>Independent browser validation.</x:v>
      </x:c>
      <x:c r="M24" s="166" t="str">
        <x:v>Done</x:v>
      </x:c>
      <x:c r="N24" s="166" t="str">
        <x:v>A selected but unconfigured browser gate blocks release.</x:v>
      </x:c>
    </x:row>
    <x:row r="25" ht="39.599998474121094" hidden="0" customHeight="1">
      <x:c r="A25" s="166" t="str">
        <x:v>AL-020</x:v>
      </x:c>
      <x:c r="B25" s="167" t="n">
        <x:v>46215.27099571759</x:v>
      </x:c>
      <x:c r="C25" s="166" t="str">
        <x:v>T-007</x:v>
      </x:c>
      <x:c r="D25" s="166" t="str">
        <x:v>Independently inspect auth layouts</x:v>
      </x:c>
      <x:c r="E25" s="166" t="str">
        <x:v>Used the in-app browser at desktop, laptop, and constrained desktop sizes and saved viewport evidence.</x:v>
      </x:c>
      <x:c r="F25" s="166" t="str">
        <x:v>In-app Browser</x:v>
      </x:c>
      <x:c r="G25" s="166" t="str">
        <x:v>Login/signup visually coherent</x:v>
      </x:c>
      <x:c r="H25" s="166" t="str">
        <x:v>No overflow, clipped controls, fatal text, or console errors after hydration.</x:v>
      </x:c>
      <x:c r="I25" s="166" t="str">
        <x:v>1440×900; 1280×800; 1024×768</x:v>
      </x:c>
      <x:c r="J25" s="166" t="str">
        <x:v>/private/tmp/pestflow-desktop-qa-guardian/artifacts/manual-browser</x:v>
      </x:c>
      <x:c r="K25" s="166"/>
      <x:c r="L25" s="166" t="str">
        <x:v>Harden readiness oracle.</x:v>
      </x:c>
      <x:c r="M25" s="166" t="str">
        <x:v>Done</x:v>
      </x:c>
      <x:c r="N25" s="166" t="str">
        <x:v>Independent from the repository Playwright suite.</x:v>
      </x:c>
    </x:row>
    <x:row r="26" ht="52.79999923706055" hidden="0" customHeight="1">
      <x:c r="A26" s="166" t="str">
        <x:v>AL-021</x:v>
      </x:c>
      <x:c r="B26" s="167" t="n">
        <x:v>46215.27099571759</x:v>
      </x:c>
      <x:c r="C26" s="166" t="str">
        <x:v>T-003</x:v>
      </x:c>
      <x:c r="D26" s="166" t="str">
        <x:v>Eliminate hydration false alarms</x:v>
      </x:c>
      <x:c r="E26" s="166" t="str">
        <x:v>Measured an empty React root immediately at domcontentloaded that became usable within about 250 ms, then added a visible-root wait.</x:v>
      </x:c>
      <x:c r="F26" s="166" t="str">
        <x:v>Browser + Stagehand</x:v>
      </x:c>
      <x:c r="G26" s="166" t="str">
        <x:v>Readiness race handled</x:v>
      </x:c>
      <x:c r="H26" s="166" t="str">
        <x:v>0 ms: no controls; 250 ms: heading, inputs, and buttons present; no console errors.</x:v>
      </x:c>
      <x:c r="I26" s="166" t="str">
        <x:v>1024×768</x:v>
      </x:c>
      <x:c r="J26" s="166" t="str">
        <x:v>/private/tmp/pestflow-desktop-qa-guardian/scripts/qa-guardian-stagehand.mjs</x:v>
      </x:c>
      <x:c r="K26" s="166" t="str">
        <x:v>codex/desktop-qa-guardian</x:v>
      </x:c>
      <x:c r="L26" s="166" t="str">
        <x:v>Run comprehensive repo checks.</x:v>
      </x:c>
      <x:c r="M26" s="166" t="str">
        <x:v>Done</x:v>
      </x:c>
      <x:c r="N26" s="166" t="str">
        <x:v>Prevents judging first paint as a blank-screen bug.</x:v>
      </x:c>
    </x:row>
    <x:row r="27" ht="26.399999618530273" hidden="0" customHeight="1">
      <x:c r="A27" s="166" t="str">
        <x:v>AL-022</x:v>
      </x:c>
      <x:c r="B27" s="167" t="n">
        <x:v>46215.27099571759</x:v>
      </x:c>
      <x:c r="C27" s="166" t="str">
        <x:v>T-009</x:v>
      </x:c>
      <x:c r="D27" s="166" t="str">
        <x:v>Run full unit regression</x:v>
      </x:c>
      <x:c r="E27" s="166" t="str">
        <x:v>Executed the complete Vitest suite.</x:v>
      </x:c>
      <x:c r="F27" s="166" t="str">
        <x:v>Vitest</x:v>
      </x:c>
      <x:c r="G27" s="166" t="str">
        <x:v>742/742 passed</x:v>
      </x:c>
      <x:c r="H27" s="166" t="str">
        <x:v>66 test files passed with zero failures.</x:v>
      </x:c>
      <x:c r="I27" s="166" t="str">
        <x:v>N/A</x:v>
      </x:c>
      <x:c r="J27" s="166" t="str">
        <x:v>npm test</x:v>
      </x:c>
      <x:c r="K27" s="166"/>
      <x:c r="L27" s="166" t="str">
        <x:v>Run build, types, lint, and workflow checks.</x:v>
      </x:c>
      <x:c r="M27" s="166" t="str">
        <x:v>Done</x:v>
      </x:c>
      <x:c r="N27" s="166" t="str">
        <x:v>Repository-wide behavior baseline is green.</x:v>
      </x:c>
    </x:row>
    <x:row r="28" ht="26.399999618530273" hidden="0" customHeight="1">
      <x:c r="A28" s="166" t="str">
        <x:v>AL-023</x:v>
      </x:c>
      <x:c r="B28" s="167" t="n">
        <x:v>46215.27099571759</x:v>
      </x:c>
      <x:c r="C28" s="166" t="str">
        <x:v>T-009</x:v>
      </x:c>
      <x:c r="D28" s="166" t="str">
        <x:v>Run build and type checks</x:v>
      </x:c>
      <x:c r="E28" s="166" t="str">
        <x:v>Built the production bundle and ran TypeScript without emitting files.</x:v>
      </x:c>
      <x:c r="F28" s="166" t="str">
        <x:v>Vite + TypeScript</x:v>
      </x:c>
      <x:c r="G28" s="166" t="str">
        <x:v>Both passed</x:v>
      </x:c>
      <x:c r="H28" s="166" t="str">
        <x:v>5,698 modules transformed; tsc exited 0.</x:v>
      </x:c>
      <x:c r="I28" s="166" t="str">
        <x:v>N/A</x:v>
      </x:c>
      <x:c r="J28" s="166" t="str">
        <x:v>npm run build; npx tsc --noEmit</x:v>
      </x:c>
      <x:c r="K28" s="166"/>
      <x:c r="L28" s="166" t="str">
        <x:v>Classify remaining warnings/debt.</x:v>
      </x:c>
      <x:c r="M28" s="166" t="str">
        <x:v>Done</x:v>
      </x:c>
      <x:c r="N28" s="166" t="str">
        <x:v>Build warnings recorded as future gaps.</x:v>
      </x:c>
    </x:row>
    <x:row r="29" ht="39.599998474121094" hidden="0" customHeight="1">
      <x:c r="A29" s="166" t="str">
        <x:v>AL-024</x:v>
      </x:c>
      <x:c r="B29" s="167" t="n">
        <x:v>46215.27099571759</x:v>
      </x:c>
      <x:c r="C29" s="166" t="str">
        <x:v>T-009</x:v>
      </x:c>
      <x:c r="D29" s="166" t="str">
        <x:v>Audit lint quality</x:v>
      </x:c>
      <x:c r="E29" s="166" t="str">
        <x:v>Ran focused lint on all new QA files and repo-wide lint for baseline comparison.</x:v>
      </x:c>
      <x:c r="F29" s="166" t="str">
        <x:v>ESLint</x:v>
      </x:c>
      <x:c r="G29" s="166" t="str">
        <x:v>New files clean; legacy baseline red</x:v>
      </x:c>
      <x:c r="H29" s="166" t="str">
        <x:v>Focused lint passed. Full repo reports 613 errors and 49 warnings unrelated to this branch.</x:v>
      </x:c>
      <x:c r="I29" s="166" t="str">
        <x:v>N/A</x:v>
      </x:c>
      <x:c r="J29" s="166" t="str">
        <x:v>npm run lint</x:v>
      </x:c>
      <x:c r="K29" s="166"/>
      <x:c r="L29" s="166" t="str">
        <x:v>Track lint debt separately.</x:v>
      </x:c>
      <x:c r="M29" s="166" t="str">
        <x:v>Done</x:v>
      </x:c>
      <x:c r="N29" s="166" t="str">
        <x:v>No broad unrelated cleanup was attempted.</x:v>
      </x:c>
    </x:row>
    <x:row r="30" ht="79.19999694824219" hidden="0" customHeight="1">
      <x:c r="A30" s="166" t="str">
        <x:v>AL-025</x:v>
      </x:c>
      <x:c r="B30" s="167" t="n">
        <x:v>46215.27099571759</x:v>
      </x:c>
      <x:c r="C30" s="166" t="str">
        <x:v>T-009</x:v>
      </x:c>
      <x:c r="D30" s="166" t="str">
        <x:v>Update the operating tracker</x:v>
      </x:c>
      <x:c r="E30" s="166" t="str">
        <x:v>Replaced preview-only placeholders with live tasks, activity, QA evidence, blockers, and product gaps.</x:v>
      </x:c>
      <x:c r="F30" s="166" t="str">
        <x:v>Excel tracker</x:v>
      </x:c>
      <x:c r="G30" s="166" t="str">
        <x:v>Workbook updated</x:v>
      </x:c>
      <x:c r="H30" s="166" t="str">
        <x:v>Rendered and inspected all five tabs before and after editing.</x:v>
      </x:c>
      <x:c r="I30" s="166" t="str">
        <x:v>Desktop workbook</x:v>
      </x:c>
      <x:c r="J30" s="166" t="str">
        <x:v>/Users/trevorgicheru/Library/Mobile Documents/com~apple~CloudDocs/Downloads/outputs/browser-base-qa-tracker-preview/Browser-Base-QA-Activity-Tracker.xlsx</x:v>
      </x:c>
      <x:c r="K30" s="166" t="str">
        <x:v>bcb5ff7; PR #89</x:v>
      </x:c>
      <x:c r="L30" s="166" t="str">
        <x:v>Configure Browserbase secrets/context and dispatch live tier 0.</x:v>
      </x:c>
      <x:c r="M30" s="166" t="str">
        <x:v>Done</x:v>
      </x:c>
      <x:c r="N30" s="166" t="str">
        <x:v>Tracker update checkpoint completed.</x:v>
      </x:c>
    </x:row>
    <x:row r="31" ht="39.599998474121094" hidden="0" customHeight="1">
      <x:c r="A31" s="166" t="str">
        <x:v>AL-026</x:v>
      </x:c>
      <x:c r="B31" s="167" t="n">
        <x:v>46215.27523634259</x:v>
      </x:c>
      <x:c r="C31" s="166" t="str">
        <x:v>T-009</x:v>
      </x:c>
      <x:c r="D31" s="166" t="str">
        <x:v>Publish QA system checkpoint</x:v>
      </x:c>
      <x:c r="E31" s="166" t="str">
        <x:v>Committed the complete Guardian change set and pushed the review branch.</x:v>
      </x:c>
      <x:c r="F31" s="166" t="str">
        <x:v>Git + GitHub</x:v>
      </x:c>
      <x:c r="G31" s="166" t="str">
        <x:v>Commit and branch published</x:v>
      </x:c>
      <x:c r="H31" s="166" t="str">
        <x:v>Credential scan, cached diff check, clean branch tracking, and remote SHA verification passed.</x:v>
      </x:c>
      <x:c r="I31" s="166" t="str">
        <x:v>N/A</x:v>
      </x:c>
      <x:c r="J31" s="166" t="str">
        <x:v>https://github.com/gicheru214/pestflow-checkout-rebuild/pull/89</x:v>
      </x:c>
      <x:c r="K31" s="166" t="str">
        <x:v>bcb5ff7</x:v>
      </x:c>
      <x:c r="L31" s="166" t="str">
        <x:v>Open draft PR and watch its required check.</x:v>
      </x:c>
      <x:c r="M31" s="166" t="str">
        <x:v>Done</x:v>
      </x:c>
      <x:c r="N31" s="166" t="str">
        <x:v>33 files; 5,348 additions; 69 deletions.</x:v>
      </x:c>
    </x:row>
    <x:row r="32" ht="52.79999923706055" hidden="0" customHeight="1">
      <x:c r="A32" s="166" t="str">
        <x:v>AL-027</x:v>
      </x:c>
      <x:c r="B32" s="167" t="n">
        <x:v>46215.27523634259</x:v>
      </x:c>
      <x:c r="C32" s="166" t="str">
        <x:v>T-009</x:v>
      </x:c>
      <x:c r="D32" s="166" t="str">
        <x:v>Verify pull-request release gate</x:v>
      </x:c>
      <x:c r="E32" s="166" t="str">
        <x:v>Opened draft PR #89 and watched the new risk-selection/build workflow to completion.</x:v>
      </x:c>
      <x:c r="F32" s="166" t="str">
        <x:v>GitHub Actions</x:v>
      </x:c>
      <x:c r="G32" s="166" t="str">
        <x:v>Release gate passed</x:v>
      </x:c>
      <x:c r="H32" s="166" t="str">
        <x:v>Run 29182844822 completed successfully in 1m24s; artifact quota emitted a non-blocking annotation exactly as designed.</x:v>
      </x:c>
      <x:c r="I32" s="166" t="str">
        <x:v>GitHub runner</x:v>
      </x:c>
      <x:c r="J32" s="166" t="str">
        <x:v>https://github.com/gicheru214/pestflow-checkout-rebuild/actions/runs/29182844822</x:v>
      </x:c>
      <x:c r="K32" s="166" t="str">
        <x:v>PR #89</x:v>
      </x:c>
      <x:c r="L32" s="166" t="str">
        <x:v>Configure Browserbase activation secrets and staging promotion wiring.</x:v>
      </x:c>
      <x:c r="M32" s="166" t="str">
        <x:v>Done</x:v>
      </x:c>
      <x:c r="N32" s="166" t="str">
        <x:v>No false repair handoff was triggered by artifact storage quota.</x:v>
      </x:c>
    </x:row>
    <x:row r="33" ht="52.79999923706055" hidden="0" customHeight="1">
      <x:c r="A33" s="166" t="str">
        <x:v>AL-028</x:v>
      </x:c>
      <x:c r="B33" s="167" t="n">
        <x:v>46215.28418983796</x:v>
      </x:c>
      <x:c r="C33" s="166" t="str">
        <x:v>T-008</x:v>
      </x:c>
      <x:c r="D33" s="166" t="str">
        <x:v>Audit change-map completeness</x:v>
      </x:c>
      <x:c r="E33" s="166" t="str">
        <x:v>Enumerated every non-mobile feature source, added missing services/settings/sales mappings, and connected feature-catalog changes to the delegated browser suite.</x:v>
      </x:c>
      <x:c r="F33" s="166" t="str">
        <x:v>Risk selector + policy tests</x:v>
      </x:c>
      <x:c r="G33" s="166" t="str">
        <x:v>Desktop feature map complete</x:v>
      </x:c>
      <x:c r="H33" s="166" t="str">
        <x:v>20/20 policy tests pass; a future unmapped desktop feature now fails validation.</x:v>
      </x:c>
      <x:c r="I33" s="166" t="str">
        <x:v>All desktop feature sources</x:v>
      </x:c>
      <x:c r="J33" s="166" t="str">
        <x:v>/private/tmp/pestflow-desktop-qa-guardian/qa/guardian/change-map.json</x:v>
      </x:c>
      <x:c r="K33" s="166" t="str">
        <x:v>53d45f5</x:v>
      </x:c>
      <x:c r="L33" s="166" t="str">
        <x:v>Run the delegated staging suite.</x:v>
      </x:c>
      <x:c r="M33" s="166" t="str">
        <x:v>Done</x:v>
      </x:c>
      <x:c r="N33" s="166" t="str">
        <x:v>Closed a release-coverage gap discovered after the first green PR run.</x:v>
      </x:c>
    </x:row>
    <x:row r="34" ht="66" hidden="0" customHeight="1">
      <x:c r="A34" s="166" t="str">
        <x:v>AL-029</x:v>
      </x:c>
      <x:c r="B34" s="167" t="n">
        <x:v>46215.28418983796</x:v>
      </x:c>
      <x:c r="C34" s="166" t="str">
        <x:v>T-008</x:v>
      </x:c>
      <x:c r="D34" s="166" t="str">
        <x:v>Validate delegated desktop feature catalog</x:v>
      </x:c>
      <x:c r="E34" s="166" t="str">
        <x:v>Ran all 193 staging feature behaviors, diagnosed the one stale Tools-count assertion, replaced it with the stable Tools trigger contract, and reran the failing checkpoint.</x:v>
      </x:c>
      <x:c r="F34" s="166" t="str">
        <x:v>Playwright staging</x:v>
      </x:c>
      <x:c r="G34" s="166" t="str">
        <x:v>193/193 behaviors passed</x:v>
      </x:c>
      <x:c r="H34" s="166" t="str">
        <x:v>192 passed on the first sweep; repaired checkpoint passed independently with mocked delivery actions.</x:v>
      </x:c>
      <x:c r="I34" s="166" t="str">
        <x:v>Desktop staging</x:v>
      </x:c>
      <x:c r="J34" s="166" t="str">
        <x:v>https://pestflow-frontend-staging-dev.up.railway.app</x:v>
      </x:c>
      <x:c r="K34" s="166" t="str">
        <x:v>53d45f5</x:v>
      </x:c>
      <x:c r="L34" s="166" t="str">
        <x:v>Verify the updated PR release gate.</x:v>
      </x:c>
      <x:c r="M34" s="166" t="str">
        <x:v>Done</x:v>
      </x:c>
      <x:c r="N34" s="166" t="str">
        <x:v>No real email was sent; action endpoints were mocked.</x:v>
      </x:c>
    </x:row>
    <x:row r="35" ht="39.599998474121094" hidden="0" customHeight="1">
      <x:c r="A35" s="166" t="str">
        <x:v>AL-030</x:v>
      </x:c>
      <x:c r="B35" s="167" t="n">
        <x:v>46215.28418983796</x:v>
      </x:c>
      <x:c r="C35" s="166" t="str">
        <x:v>T-009</x:v>
      </x:c>
      <x:c r="D35" s="166" t="str">
        <x:v>Verify updated PR checkpoint</x:v>
      </x:c>
      <x:c r="E35" s="166" t="str">
        <x:v>Pushed the coverage hardening commit and watched the updated release gate.</x:v>
      </x:c>
      <x:c r="F35" s="166" t="str">
        <x:v>GitHub Actions</x:v>
      </x:c>
      <x:c r="G35" s="166" t="str">
        <x:v>Updated release gate passed</x:v>
      </x:c>
      <x:c r="H35" s="166" t="str">
        <x:v>Run 29183173099 completed successfully in 1m8s; artifact quota stayed non-blocking.</x:v>
      </x:c>
      <x:c r="I35" s="166" t="str">
        <x:v>GitHub runner</x:v>
      </x:c>
      <x:c r="J35" s="166" t="str">
        <x:v>https://github.com/gicheru214/pestflow-checkout-rebuild/actions/runs/29183173099</x:v>
      </x:c>
      <x:c r="K35" s="166" t="str">
        <x:v>53d45f5; PR #89</x:v>
      </x:c>
      <x:c r="L35" s="166" t="str">
        <x:v>Activate Browserbase after secrets/context are available.</x:v>
      </x:c>
      <x:c r="M35" s="166" t="str">
        <x:v>Done</x:v>
      </x:c>
      <x:c r="N35" s="166" t="str">
        <x:v>Draft PR remains mergeable and CI-green.</x:v>
      </x:c>
    </x:row>
    <x:row r="36" ht="72" customHeight="1">
      <x:c r="A36" s="170" t="str">
        <x:v>AL-031</x:v>
      </x:c>
      <x:c r="B36" s="171" t="n">
        <x:v>46215</x:v>
      </x:c>
      <x:c r="C36" s="170" t="str">
        <x:v>T-011</x:v>
      </x:c>
      <x:c r="D36" s="170" t="str">
        <x:v>Audit deployment wiring</x:v>
      </x:c>
      <x:c r="E36" s="170" t="str">
        <x:v>Inspected Railway configuration, in-repo workflows, and the GitHub branch-protection API.</x:v>
      </x:c>
      <x:c r="F36" s="170" t="str">
        <x:v>Railway config + GitHub API</x:v>
      </x:c>
      <x:c r="G36" s="170" t="str">
        <x:v>Integration gap confirmed</x:v>
      </x:c>
      <x:c r="H36" s="170" t="str">
        <x:v>No deploy workflow exists in repo; GitHub API returned 403 because protection needs a supported plan or public repo.</x:v>
      </x:c>
      <x:c r="I36" s="170" t="str">
        <x:v>N/A</x:v>
      </x:c>
      <x:c r="J36" s="170" t="str">
        <x:v>railway.toml; PR #89</x:v>
      </x:c>
      <x:c r="K36" s="170" t="str">
        <x:v>53d45f5</x:v>
      </x:c>
      <x:c r="L36" s="170" t="str">
        <x:v>Add exact-deployment proof before browser QA.</x:v>
      </x:c>
      <x:c r="M36" s="170" t="str">
        <x:v>Done</x:v>
      </x:c>
      <x:c r="N36" s="170" t="str">
        <x:v>Operational promotion wiring remains tracked under T-011.</x:v>
      </x:c>
    </x:row>
    <x:row r="37" ht="72" customHeight="1">
      <x:c r="A37" s="170" t="str">
        <x:v>AL-032</x:v>
      </x:c>
      <x:c r="B37" s="171" t="n">
        <x:v>46215</x:v>
      </x:c>
      <x:c r="C37" s="170" t="str">
        <x:v>T-008</x:v>
      </x:c>
      <x:c r="D37" s="170" t="str">
        <x:v>Expose deployed commit identity</x:v>
      </x:c>
      <x:c r="E37" s="170" t="str">
        <x:v>Added safe Railway commit, environment, and service metadata to frontend and API health responses.</x:v>
      </x:c>
      <x:c r="F37" s="170" t="str">
        <x:v>PestFlow frontend + API</x:v>
      </x:c>
      <x:c r="G37" s="170" t="str">
        <x:v>Health contract implemented</x:v>
      </x:c>
      <x:c r="H37" s="170" t="str">
        <x:v>TypeScript and focused lint passed; response exposes no credentials or customer data.</x:v>
      </x:c>
      <x:c r="I37" s="170" t="str">
        <x:v>N/A</x:v>
      </x:c>
      <x:c r="J37" s="170" t="str">
        <x:v>server/lib/deploymentIdentity.ts</x:v>
      </x:c>
      <x:c r="K37" s="170" t="str">
        <x:v>011d187; PR #89</x:v>
      </x:c>
      <x:c r="L37" s="170" t="str">
        <x:v>Make the release runner verify the expected SHA.</x:v>
      </x:c>
      <x:c r="M37" s="170" t="str">
        <x:v>Done</x:v>
      </x:c>
      <x:c r="N37" s="170" t="str">
        <x:v>Supports exact candidate certification during rollout.</x:v>
      </x:c>
    </x:row>
    <x:row r="38" ht="72" customHeight="1">
      <x:c r="A38" s="170" t="str">
        <x:v>AL-033</x:v>
      </x:c>
      <x:c r="B38" s="171" t="n">
        <x:v>46215</x:v>
      </x:c>
      <x:c r="C38" s="170" t="str">
        <x:v>T-008</x:v>
      </x:c>
      <x:c r="D38" s="170" t="str">
        <x:v>Verify exact candidate deployment</x:v>
      </x:c>
      <x:c r="E38" s="170" t="str">
        <x:v>Added a Guardian preflight that polls /health until deployment.commitSha matches expected_sha or times out.</x:v>
      </x:c>
      <x:c r="F38" s="170" t="str">
        <x:v>Guardian + release gate</x:v>
      </x:c>
      <x:c r="G38" s="170" t="str">
        <x:v>Stale-build guard implemented</x:v>
      </x:c>
      <x:c r="H38" s="170" t="str">
        <x:v>24/24 policy tests passed, including abbreviated SHA, stale rollout, success, and timeout cases.</x:v>
      </x:c>
      <x:c r="I38" s="170" t="str">
        <x:v>All registry sizes</x:v>
      </x:c>
      <x:c r="J38" s="170" t="str">
        <x:v>scripts/lib/qa-deployment-preflight.mjs</x:v>
      </x:c>
      <x:c r="K38" s="170" t="str">
        <x:v>011d187; PR #89</x:v>
      </x:c>
      <x:c r="L38" s="170" t="str">
        <x:v>Document and connect the deployment contract.</x:v>
      </x:c>
      <x:c r="M38" s="170" t="str">
        <x:v>Done</x:v>
      </x:c>
      <x:c r="N38" s="170" t="str">
        <x:v>Prevents testing the previous healthy deployment.</x:v>
      </x:c>
    </x:row>
    <x:row r="39" ht="72" customHeight="1">
      <x:c r="A39" s="170" t="str">
        <x:v>AL-034</x:v>
      </x:c>
      <x:c r="B39" s="171" t="n">
        <x:v>46215</x:v>
      </x:c>
      <x:c r="C39" s="170" t="str">
        <x:v>T-009</x:v>
      </x:c>
      <x:c r="D39" s="170" t="str">
        <x:v>Write two-part product PRD</x:v>
      </x:c>
      <x:c r="E39" s="170" t="str">
        <x:v>Created a beginner-friendly PestFlow/testing explanation plus full product requirements, safeguards, data model, metrics, and rollout.</x:v>
      </x:c>
      <x:c r="F39" s="170" t="str">
        <x:v>Documentation</x:v>
      </x:c>
      <x:c r="G39" s="170" t="str">
        <x:v>PRD complete</x:v>
      </x:c>
      <x:c r="H39" s="170" t="str">
        <x:v>Reconciled the attached ultimate plan with implemented and explicitly planned capabilities.</x:v>
      </x:c>
      <x:c r="I39" s="170" t="str">
        <x:v>Desktop documentation</x:v>
      </x:c>
      <x:c r="J39" s="170" t="str">
        <x:v>docs/reliability-command-center/PRD.md</x:v>
      </x:c>
      <x:c r="K39" s="170" t="str">
        <x:v>011d187; PR #89</x:v>
      </x:c>
      <x:c r="L39" s="170" t="str">
        <x:v>Complete the engineering folder/file guide.</x:v>
      </x:c>
      <x:c r="M39" s="170" t="str">
        <x:v>Done</x:v>
      </x:c>
      <x:c r="N39" s="170" t="str">
        <x:v>Does not overclaim the later dashboard or backend-oracle phases.</x:v>
      </x:c>
    </x:row>
    <x:row r="40" ht="72" customHeight="1">
      <x:c r="A40" s="170" t="str">
        <x:v>AL-035</x:v>
      </x:c>
      <x:c r="B40" s="171" t="n">
        <x:v>46215</x:v>
      </x:c>
      <x:c r="C40" s="170" t="str">
        <x:v>T-009</x:v>
      </x:c>
      <x:c r="D40" s="170" t="str">
        <x:v>Document the QA codebase</x:v>
      </x:c>
      <x:c r="E40" s="170" t="str">
        <x:v>Documented every relevant QA folder, registry, library, runner, suite, workflow, health hook, artifact, command, and safety invariant.</x:v>
      </x:c>
      <x:c r="F40" s="170" t="str">
        <x:v>Documentation</x:v>
      </x:c>
      <x:c r="G40" s="170" t="str">
        <x:v>Codebase guide complete</x:v>
      </x:c>
      <x:c r="H40" s="170" t="str">
        <x:v>Cross-checked the guide against the branch file inventory and current behavior.</x:v>
      </x:c>
      <x:c r="I40" s="170" t="str">
        <x:v>Desktop documentation</x:v>
      </x:c>
      <x:c r="J40" s="170" t="str">
        <x:v>docs/reliability-command-center/CODEBASE_GUIDE.md</x:v>
      </x:c>
      <x:c r="K40" s="170" t="str">
        <x:v>011d187; PR #89</x:v>
      </x:c>
      <x:c r="L40" s="170" t="str">
        <x:v>Run final repo audit, commit, push, and recheck PR CI.</x:v>
      </x:c>
      <x:c r="M40" s="170" t="str">
        <x:v>Done</x:v>
      </x:c>
      <x:c r="N40" s="170" t="str">
        <x:v>README links the PRD, guide, and operator runbook.</x:v>
      </x:c>
    </x:row>
    <x:row r="41" ht="72" customHeight="1">
      <x:c r="A41" s="170" t="str">
        <x:v>AL-036</x:v>
      </x:c>
      <x:c r="B41" s="171" t="n">
        <x:v>46215</x:v>
      </x:c>
      <x:c r="C41" s="170" t="str">
        <x:v>T-009</x:v>
      </x:c>
      <x:c r="D41" s="170" t="str">
        <x:v>Verify final documented checkpoint</x:v>
      </x:c>
      <x:c r="E41" s="170" t="str">
        <x:v>Pushed commit 011d187, updated draft PR #89, and watched its release-gate workflow to completion.</x:v>
      </x:c>
      <x:c r="F41" s="170" t="str">
        <x:v>GitHub Actions</x:v>
      </x:c>
      <x:c r="G41" s="170" t="str">
        <x:v>Final PR gate passed</x:v>
      </x:c>
      <x:c r="H41" s="170" t="str">
        <x:v>Run 29201289406 completed successfully in 1m12s after 744 unit, 24 policy, 12 incident, build, type, lint, and workflow checks passed locally.</x:v>
      </x:c>
      <x:c r="I41" s="170" t="str">
        <x:v>GitHub runner</x:v>
      </x:c>
      <x:c r="J41" s="170" t="str">
        <x:v>https://github.com/gicheru214/pestflow-checkout-rebuild/actions/runs/29201289406</x:v>
      </x:c>
      <x:c r="K41" s="170" t="str">
        <x:v>011d187; PR #89</x:v>
      </x:c>
      <x:c r="L41" s="170" t="str">
        <x:v>Activate Browserbase secrets/context, then connect the exact-SHA gate to the real deployment promotion.</x:v>
      </x:c>
      <x:c r="M41" s="170" t="str">
        <x:v>Done</x:v>
      </x:c>
      <x:c r="N41" s="170" t="str">
        <x:v>Branch is clean, remote SHA matches, PR is mergeable, and required CI is green.</x:v>
      </x:c>
    </x:row>
    <x:row r="42" ht="78" customHeight="1">
      <x:c r="A42" s="170" t="str">
        <x:v>AL-037</x:v>
      </x:c>
      <x:c r="B42" s="171" t="n">
        <x:v>46215.72222222222</x:v>
      </x:c>
      <x:c r="C42" s="170" t="str">
        <x:v>T-003</x:v>
      </x:c>
      <x:c r="D42" s="170" t="str">
        <x:v>Capture browser network and page failures</x:v>
      </x:c>
      <x:c r="E42" s="170" t="str">
        <x:v>Added sanitized failed-request/response and uncaught page-error evidence, first-party severity policy, query redaction, and incident handoff coverage.</x:v>
      </x:c>
      <x:c r="F42" s="170" t="str">
        <x:v>Stagehand + Playwright events</x:v>
      </x:c>
      <x:c r="G42" s="170" t="str">
        <x:v>Network evidence gap closed</x:v>
      </x:c>
      <x:c r="H42" s="170" t="str">
        <x:v>31/31 Guardian policy/evidence tests, 13/13 incident tests, 744/744 unit tests, build, TypeScript, lint, workflow parsing, and PR run 29201788958 passed.</x:v>
      </x:c>
      <x:c r="I42" s="170" t="str">
        <x:v>All Guardian desktop sizes</x:v>
      </x:c>
      <x:c r="J42" s="170" t="str">
        <x:v>scripts/lib/qa-browser-evidence.mjs; run 29201788958</x:v>
      </x:c>
      <x:c r="K42" s="170" t="str">
        <x:v>9ad8083; PR #89</x:v>
      </x:c>
      <x:c r="L42" s="170" t="str">
        <x:v>Continue expanding outcome-oracle coverage; live sessions still require Browserbase activation.</x:v>
      </x:c>
      <x:c r="M42" s="170" t="str">
        <x:v>Done</x:v>
      </x:c>
      <x:c r="N42" s="170" t="str">
        <x:v>Expected anonymous 401s, analytics failures, and aborted navigation are retained or ignored without creating false product failures.</x:v>
      </x:c>
    </x:row>
    <x:row r="43" ht="82" customHeight="1">
      <x:c r="A43" s="170" t="str">
        <x:v>AL-038</x:v>
      </x:c>
      <x:c r="B43" s="171" t="n">
        <x:v>46215.73472222222</x:v>
      </x:c>
      <x:c r="C43" s="170" t="str">
        <x:v>T-008</x:v>
      </x:c>
      <x:c r="D43" s="170" t="str">
        <x:v>Add read-only production outcome oracles</x:v>
      </x:c>
      <x:c r="E43" s="170" t="str">
        <x:v>Added GET-only, origin-pinned frontend/API identity, database clock, and critical-schema checks; required complete oracle evidence in the release verdict and incident flow.</x:v>
      </x:c>
      <x:c r="F43" s="170" t="str">
        <x:v>PestFlow health endpoints</x:v>
      </x:c>
      <x:c r="G43" s="170" t="str">
        <x:v>Outcome layer implemented</x:v>
      </x:c>
      <x:c r="H43" s="170" t="str">
        <x:v>40/40 Guardian policy/oracle tests and 14/14 incident tests passed; artifacts retain assertion metadata but no response bodies.</x:v>
      </x:c>
      <x:c r="I43" s="170" t="str">
        <x:v>N/A</x:v>
      </x:c>
      <x:c r="J43" s="170" t="str">
        <x:v>qa/guardian/outcome-oracles.json; scripts/lib/qa-outcome-oracles.mjs</x:v>
      </x:c>
      <x:c r="K43" s="170" t="str">
        <x:v>ba58b35; PR #89</x:v>
      </x:c>
      <x:c r="L43" s="170" t="str">
        <x:v>Activate the deploy gate so the same commit is checked after deployment.</x:v>
      </x:c>
      <x:c r="M43" s="170" t="str">
        <x:v>Done</x:v>
      </x:c>
      <x:c r="N43" s="170" t="str">
        <x:v>Writes, query strings, fragments, cross-origin escapes, incomplete evidence, and missing selected journeys fail closed.</x:v>
      </x:c>
    </x:row>
    <x:row r="44" ht="82" customHeight="1">
      <x:c r="A44" s="170" t="str">
        <x:v>AL-039</x:v>
      </x:c>
      <x:c r="B44" s="171" t="n">
        <x:v>46215.73472222222</x:v>
      </x:c>
      <x:c r="C44" s="170" t="str">
        <x:v>T-011</x:v>
      </x:c>
      <x:c r="D44" s="170" t="str">
        <x:v>Verify production outcome-oracle baseline</x:v>
      </x:c>
      <x:c r="E44" s="170" t="str">
        <x:v>Ran all four public oracles against the currently served production frontend, API, database, and schema.</x:v>
      </x:c>
      <x:c r="F44" s="170" t="str">
        <x:v>Production HTTP</x:v>
      </x:c>
      <x:c r="G44" s="170" t="str">
        <x:v>2 passed; 2 failed</x:v>
      </x:c>
      <x:c r="H44" s="170" t="str">
        <x:v>Database clock and critical schema passed. Frontend/API returned HTTP 200 but lack deployment.commitSha because production predates this branch.</x:v>
      </x:c>
      <x:c r="I44" s="170" t="str">
        <x:v>Production</x:v>
      </x:c>
      <x:c r="J44" s="170" t="str">
        <x:v>https://new.pestflow.org/health; https://api.pestflow.org/health</x:v>
      </x:c>
      <x:c r="K44" s="170" t="str">
        <x:v>ba58b35; PR #89</x:v>
      </x:c>
      <x:c r="L44" s="170" t="str">
        <x:v>Merge/deploy the health contract, rerun all four, then require the candidate gate before promotion.</x:v>
      </x:c>
      <x:c r="M44" s="170" t="str">
        <x:v>Done</x:v>
      </x:c>
      <x:c r="N44" s="170" t="str">
        <x:v>Recorded as a real failed deployment-identity check, not converted into a green result.</x:v>
      </x:c>
    </x:row>
    <x:row r="45" ht="82" customHeight="1">
      <x:c r="A45" s="170" t="str">
        <x:v>AL-040</x:v>
      </x:c>
      <x:c r="B45" s="171" t="n">
        <x:v>46215.73472222222</x:v>
      </x:c>
      <x:c r="C45" s="170" t="str">
        <x:v>T-009</x:v>
      </x:c>
      <x:c r="D45" s="170" t="str">
        <x:v>Publish and verify outcome-oracle checkpoint</x:v>
      </x:c>
      <x:c r="E45" s="170" t="str">
        <x:v>Committed and pushed ba58b35, updated draft PR #89, and watched the new release-gate workflow to completion.</x:v>
      </x:c>
      <x:c r="F45" s="170" t="str">
        <x:v>GitHub Actions</x:v>
      </x:c>
      <x:c r="G45" s="170" t="str">
        <x:v>PR release gate passed</x:v>
      </x:c>
      <x:c r="H45" s="170" t="str">
        <x:v>Run 29202648617 passed in 1m11s after selector, 40 policy/oracle tests, 14 incident tests, and the production build passed.</x:v>
      </x:c>
      <x:c r="I45" s="170" t="str">
        <x:v>GitHub runner</x:v>
      </x:c>
      <x:c r="J45" s="170" t="str">
        <x:v>https://github.com/gicheru214/pestflow-checkout-rebuild/actions/runs/29202648617</x:v>
      </x:c>
      <x:c r="K45" s="170" t="str">
        <x:v>a110f26; PR #89</x:v>
      </x:c>
      <x:c r="L45" s="170" t="str">
        <x:v>Complete Browserbase and deployment activation tasks T-010 and T-011.</x:v>
      </x:c>
      <x:c r="M45" s="170" t="str">
        <x:v>Done</x:v>
      </x:c>
      <x:c r="N45" s="170" t="str">
        <x:v>Artifact quota remained non-blocking; PR is mergeable and the head SHA matches the remote branch.</x:v>
      </x:c>
    </x:row>
    <x:row r="46" ht="82" customHeight="1">
      <x:c r="A46" s="170" t="str">
        <x:v>AL-041</x:v>
      </x:c>
      <x:c r="B46" s="171" t="n">
        <x:v>46215.74166666667</x:v>
      </x:c>
      <x:c r="C46" s="170" t="str">
        <x:v>T-011</x:v>
      </x:c>
      <x:c r="D46" s="170" t="str">
        <x:v>Audit Railway and staging outcome baseline</x:v>
      </x:c>
      <x:c r="E46" s="170" t="str">
        <x:v>Used the authenticated Railway CLI read-only to identify the PestFlow project/services and ran the environment-labeled oracle set against staging.</x:v>
      </x:c>
      <x:c r="F46" s="170" t="str">
        <x:v>Railway CLI + staging HTTP</x:v>
      </x:c>
      <x:c r="G46" s="170" t="str">
        <x:v>2 passed; 2 failed</x:v>
      </x:c>
      <x:c r="H46" s="170" t="str">
        <x:v>Staging DB/schema passed. Staging frontend/API also predate deployment.commitSha. No deployment, variable, domain, or service state was changed.</x:v>
      </x:c>
      <x:c r="I46" s="170" t="str">
        <x:v>Staging</x:v>
      </x:c>
      <x:c r="J46" s="170" t="str">
        <x:v>https://pestflow-frontend-staging-dev.up.railway.app/health; https://api-dev.pestflow.org/health</x:v>
      </x:c>
      <x:c r="K46" s="170" t="str">
        <x:v>a110f26; PR #89</x:v>
      </x:c>
      <x:c r="L46" s="170" t="str">
        <x:v>Deploy the branch to an isolated candidate, rerun 4/4 with expected_sha, then connect promotion policy.</x:v>
      </x:c>
      <x:c r="M46" s="170" t="str">
        <x:v>Done</x:v>
      </x:c>
      <x:c r="N46" s="170" t="str">
        <x:v>Oracle artifacts now label staging versus production instead of calling every database production.</x:v>
      </x:c>
    </x:row>
    <x:row r="47" ht="86" customHeight="1">
      <x:c r="A47" s="170" t="str">
        <x:v>AL-042</x:v>
      </x:c>
      <x:c r="B47" s="171" t="n">
        <x:v>46215.756944444445</x:v>
      </x:c>
      <x:c r="C47" s="170" t="str">
        <x:v>T-003</x:v>
      </x:c>
      <x:c r="D47" s="170" t="str">
        <x:v>Expand authenticated desktop owner smoke</x:v>
      </x:c>
      <x:c r="E47" s="170" t="str">
        <x:v>Extended the Checkly canary login into read-only dashboard, customers, jobs, invoices, and reports checks with route contracts, overflow, browser errors, and first-party network failures.</x:v>
      </x:c>
      <x:c r="F47" s="170" t="str">
        <x:v>Checkly + Playwright</x:v>
      </x:c>
      <x:c r="G47" s="170" t="str">
        <x:v>Authenticated fallback implemented</x:v>
      </x:c>
      <x:c r="H47" s="170" t="str">
        <x:v>Checkly bundling/list validation, TypeScript, focused ESLint, and workflow YAML parsing passed.</x:v>
      </x:c>
      <x:c r="I47" s="170" t="str">
        <x:v>1366×900</x:v>
      </x:c>
      <x:c r="J47" s="170" t="str">
        <x:v>checkly/browser/desktop-login.spec.ts</x:v>
      </x:c>
      <x:c r="K47" s="170" t="str">
        <x:v>e53b32c + 75e374b; PR #89</x:v>
      </x:c>
      <x:c r="L47" s="170" t="str">
        <x:v>Run the exact owner smoke in Checkly without email.</x:v>
      </x:c>
      <x:c r="M47" s="170" t="str">
        <x:v>Done</x:v>
      </x:c>
      <x:c r="N47" s="170" t="str">
        <x:v>No create, send, payment, or other state-changing action is clicked.</x:v>
      </x:c>
    </x:row>
    <x:row r="48" ht="86" customHeight="1">
      <x:c r="A48" s="170" t="str">
        <x:v>AL-043</x:v>
      </x:c>
      <x:c r="B48" s="171" t="n">
        <x:v>46215.756944444445</x:v>
      </x:c>
      <x:c r="C48" s="170" t="str">
        <x:v>T-003</x:v>
      </x:c>
      <x:c r="D48" s="170" t="str">
        <x:v>Classify the first authenticated cloud run</x:v>
      </x:c>
      <x:c r="E48" s="170" t="str">
        <x:v>Ran the complete Checkly catalog with email disabled, read the failure logs, and separated desktop selector drift from an independent mobile-signup failure.</x:v>
      </x:c>
      <x:c r="F48" s="170" t="str">
        <x:v>GitHub Actions + Checkly</x:v>
      </x:c>
      <x:c r="G48" s="170" t="str">
        <x:v>Failure split into two causes</x:v>
      </x:c>
      <x:c r="H48" s="170" t="str">
        <x:v>Run 29202904316: 6/8 checks passed; desktop stopped on a Jobs heading locator and mobile signup timed out at auth-role. Email step was skipped.</x:v>
      </x:c>
      <x:c r="I48" s="170" t="str">
        <x:v>Cloud browsers</x:v>
      </x:c>
      <x:c r="J48" s="170" t="str">
        <x:v>https://github.com/gicheru214/pestflow-checkout-rebuild/actions/runs/29202904316</x:v>
      </x:c>
      <x:c r="K48" s="170" t="str">
        <x:v>75e374b; PR #89</x:v>
      </x:c>
      <x:c r="L48" s="170" t="str">
        <x:v>Use stable route-action selectors and rerun only the owner smoke.</x:v>
      </x:c>
      <x:c r="M48" s="170" t="str">
        <x:v>Done</x:v>
      </x:c>
      <x:c r="N48" s="170" t="str">
        <x:v>Mobile signup remains a separate follow-up instead of being hidden by the desktop repair.</x:v>
      </x:c>
    </x:row>
    <x:row r="49" ht="86" customHeight="1">
      <x:c r="A49" s="170" t="str">
        <x:v>AL-044</x:v>
      </x:c>
      <x:c r="B49" s="171" t="n">
        <x:v>46215.756944444445</x:v>
      </x:c>
      <x:c r="C49" s="170" t="str">
        <x:v>T-003</x:v>
      </x:c>
      <x:c r="D49" s="170" t="str">
        <x:v>Verify isolated authenticated owner routes</x:v>
      </x:c>
      <x:c r="E49" s="170" t="str">
        <x:v>Replaced the brittle Jobs heading with unique data-tour action contracts, added an isolated manual workflow input, and ran only the owner check without email.</x:v>
      </x:c>
      <x:c r="F49" s="170" t="str">
        <x:v>Checkly cloud + GitHub Actions</x:v>
      </x:c>
      <x:c r="G49" s="170" t="str">
        <x:v>Authenticated owner smoke passed</x:v>
      </x:c>
      <x:c r="H49" s="170" t="str">
        <x:v>Run 29203229913 passed 1/1 in 18s; incident package was passed. PR release gate 29203343650 then passed in 1m3s on the final documentation head.</x:v>
      </x:c>
      <x:c r="I49" s="170" t="str">
        <x:v>1366×900</x:v>
      </x:c>
      <x:c r="J49" s="170" t="str">
        <x:v>https://github.com/gicheru214/pestflow-checkout-rebuild/actions/runs/29203229913</x:v>
      </x:c>
      <x:c r="K49" s="170" t="str">
        <x:v>d3c3dcb; PR #89</x:v>
      </x:c>
      <x:c r="L49" s="170" t="str">
        <x:v>Deploy the reviewed Checkly config after approval; continue T-010/T-011 activation.</x:v>
      </x:c>
      <x:c r="M49" s="170" t="str">
        <x:v>Done</x:v>
      </x:c>
      <x:c r="N49" s="170" t="str">
        <x:v>The branch proof is real but does not silently mutate the managed six-hour Checkly definition.</x:v>
      </x:c>
    </x:row>
    <x:row r="50" ht="90" customHeight="1">
      <x:c r="A50" s="170" t="str">
        <x:v>AL-045</x:v>
      </x:c>
      <x:c r="B50" s="171" t="n">
        <x:v>46215.76180555556</x:v>
      </x:c>
      <x:c r="C50" s="170" t="str">
        <x:v>T-013</x:v>
      </x:c>
      <x:c r="D50" s="170" t="str">
        <x:v>Resolve mobile field signup Checkly failure</x:v>
      </x:c>
      <x:c r="E50" s="170" t="str">
        <x:v>Confirmed the live signup reached role selection, replaced a whole-body hidden-DOM assertion with active-screen state contracts, and added an isolated no-email workflow mode.</x:v>
      </x:c>
      <x:c r="F50" s="170" t="str">
        <x:v>Checkly cloud + GitHub Actions</x:v>
      </x:c>
      <x:c r="G50" s="170" t="str">
        <x:v>False failure removed; live flow passed</x:v>
      </x:c>
      <x:c r="H50" s="170" t="str">
        <x:v>Run 29203535900 passed 1/1 in 7s; workflow completed successfully in 51s and the incident package reported passed.</x:v>
      </x:c>
      <x:c r="I50" s="170" t="str">
        <x:v>390×844</x:v>
      </x:c>
      <x:c r="J50" s="170" t="str">
        <x:v>https://github.com/gicheru214/pestflow-checkout-rebuild/actions/runs/29203535900</x:v>
      </x:c>
      <x:c r="K50" s="170" t="str">
        <x:v>325541d; PR #89</x:v>
      </x:c>
      <x:c r="L50" s="170" t="str">
        <x:v>Keep the focused check in the daily catalog; managed six-hour Checkly deployment remains deliberate post-review work.</x:v>
      </x:c>
      <x:c r="M50" s="170" t="str">
        <x:v>Done</x:v>
      </x:c>
      <x:c r="N50" s="170" t="str">
        <x:v>The prior account-locked text came from a dormant screen retained in the single-page DOM, not the visible signup result.</x:v>
      </x:c>
    </x:row>
    <x:row r="51" ht="78" customHeight="1">
      <x:c r="A51" s="170" t="str">
        <x:v>AL-046</x:v>
      </x:c>
      <x:c r="B51" s="171" t="n">
        <x:v>46215.76180555556</x:v>
      </x:c>
      <x:c r="C51" s="170" t="str">
        <x:v>T-009</x:v>
      </x:c>
      <x:c r="D51" s="170" t="str">
        <x:v>Verify final mobile-repair PR head</x:v>
      </x:c>
      <x:c r="E51" s="170" t="str">
        <x:v>Confirmed the pushed head, updated draft PR #89 evidence, and verified the release gate on the same commit as the successful mobile cloud proof.</x:v>
      </x:c>
      <x:c r="F51" s="170" t="str">
        <x:v>GitHub Actions</x:v>
      </x:c>
      <x:c r="G51" s="170" t="str">
        <x:v>Final PR head is CI-green</x:v>
      </x:c>
      <x:c r="H51" s="170" t="str">
        <x:v>Run 29203534314 passed in 1m10s on commit 325541d; PR #89 is mergeable with a clean merge state.</x:v>
      </x:c>
      <x:c r="I51" s="170" t="str">
        <x:v>GitHub runner</x:v>
      </x:c>
      <x:c r="J51" s="170" t="str">
        <x:v>https://github.com/gicheru214/pestflow-checkout-rebuild/actions/runs/29203534314</x:v>
      </x:c>
      <x:c r="K51" s="170" t="str">
        <x:v>325541d; PR #89</x:v>
      </x:c>
      <x:c r="L51" s="170" t="str">
        <x:v>Review and activate the separately tracked Browserbase/candidate-deploy boundaries.</x:v>
      </x:c>
      <x:c r="M51" s="170" t="str">
        <x:v>Done</x:v>
      </x:c>
      <x:c r="N51" s="170" t="str">
        <x:v>The final SHA has both release-gate and isolated mobile signup proof.</x:v>
      </x:c>
    </x:row>
    <x:row r="52" ht="90" customHeight="1">
      <x:c r="A52" s="170" t="str">
        <x:v>AL-047</x:v>
      </x:c>
      <x:c r="B52" s="171" t="n">
        <x:v>46215.77222222222</x:v>
      </x:c>
      <x:c r="C52" s="170" t="str">
        <x:v>T-011</x:v>
      </x:c>
      <x:c r="D52" s="170" t="str">
        <x:v>Audit automatic candidate deployment availability</x:v>
      </x:c>
      <x:c r="E52" s="170" t="str">
        <x:v>Checked GitHub deployments and Railway environments for the exact PR branch before attempting candidate certification.</x:v>
      </x:c>
      <x:c r="F52" s="170" t="str">
        <x:v>GitHub API + Railway CLI</x:v>
      </x:c>
      <x:c r="G52" s="170" t="str">
        <x:v>No candidate exists</x:v>
      </x:c>
      <x:c r="H52" s="170" t="str">
        <x:v>GitHub returned no branch deployments; Railway staging and production are older builds. No deploy or environment state was changed.</x:v>
      </x:c>
      <x:c r="I52" s="170" t="str">
        <x:v>Staging + production</x:v>
      </x:c>
      <x:c r="J52" s="170" t="str">
        <x:v>PR #89; Railway project pestflow-app-newdb</x:v>
      </x:c>
      <x:c r="K52" s="170" t="str">
        <x:v>0db5838; PR #89</x:v>
      </x:c>
      <x:c r="L52" s="170" t="str">
        <x:v>Create or approve an isolated candidate deployment before exact-SHA certification.</x:v>
      </x:c>
      <x:c r="M52" s="170" t="str">
        <x:v>Done</x:v>
      </x:c>
      <x:c r="N52" s="170" t="str">
        <x:v>The tracker does not mislabel testing of an older healthy deployment as candidate proof.</x:v>
      </x:c>
    </x:row>
    <x:row r="53" ht="90" customHeight="1">
      <x:c r="A53" s="170" t="str">
        <x:v>AL-048</x:v>
      </x:c>
      <x:c r="B53" s="171" t="n">
        <x:v>46215.77222222222</x:v>
      </x:c>
      <x:c r="C53" s="170" t="str">
        <x:v>T-003</x:v>
      </x:c>
      <x:c r="D53" s="170" t="str">
        <x:v>Classify final-head full Checkly catalog run</x:v>
      </x:c>
      <x:c r="E53" s="170" t="str">
        <x:v>Ran all eight cloud browser checks together with email disabled and separated seven passing journeys from one intermittent Reports readiness miss.</x:v>
      </x:c>
      <x:c r="F53" s="170" t="str">
        <x:v>Checkly cloud + GitHub Actions</x:v>
      </x:c>
      <x:c r="G53" s="170" t="str">
        <x:v>7 passed; 1 intermittent failure</x:v>
      </x:c>
      <x:c r="H53" s="170" t="str">
        <x:v>Run 29203761187: all signup, OAuth, mobile login/invoice, and desktop signup checks passed; desktop owner stopped after Reports lacked its heading for 30s.</x:v>
      </x:c>
      <x:c r="I53" s="170" t="str">
        <x:v>Desktop + mobile</x:v>
      </x:c>
      <x:c r="J53" s="170" t="str">
        <x:v>https://github.com/gicheru214/pestflow-checkout-rebuild/actions/runs/29203761187</x:v>
      </x:c>
      <x:c r="K53" s="170" t="str">
        <x:v>325541d; PR #89</x:v>
      </x:c>
      <x:c r="L53" s="170" t="str">
        <x:v>Rerun owner alone, add sanitized route diagnostics, and align proof retries with managed checks.</x:v>
      </x:c>
      <x:c r="M53" s="170" t="str">
        <x:v>Done</x:v>
      </x:c>
      <x:c r="N53" s="170" t="str">
        <x:v>The immediately following isolated owner run 29203862136 passed in 17s, proving intermittent rather than persistent failure.</x:v>
      </x:c>
    </x:row>
    <x:row r="54" ht="90" customHeight="1">
      <x:c r="A54" s="170" t="str">
        <x:v>AL-049</x:v>
      </x:c>
      <x:c r="B54" s="171" t="n">
        <x:v>46215.77222222222</x:v>
      </x:c>
      <x:c r="C54" s="170" t="str">
        <x:v>T-003</x:v>
      </x:c>
      <x:c r="D54" s="170" t="str">
        <x:v>Instrument intermittent desktop route readiness</x:v>
      </x:c>
      <x:c r="E54" s="170" t="str">
        <x:v>Added query-free first-party network evidence, per-route readiness timings, sanitized route-state diagnostics, and the single CLI retry already configured on every managed check.</x:v>
      </x:c>
      <x:c r="F54" s="170" t="str">
        <x:v>Checkly + Playwright</x:v>
      </x:c>
      <x:c r="G54" s="170" t="str">
        <x:v>Diagnostics and retry parity implemented</x:v>
      </x:c>
      <x:c r="H54" s="170" t="str">
        <x:v>Checkly bundle/list, TypeScript, focused ESLint, workflow YAML parse, and git diff checks passed.</x:v>
      </x:c>
      <x:c r="I54" s="170" t="str">
        <x:v>1366×900</x:v>
      </x:c>
      <x:c r="J54" s="170" t="str">
        <x:v>checkly/browser/desktop-login.spec.ts; .github/workflows/checkly-proof-report.yml</x:v>
      </x:c>
      <x:c r="K54" s="170" t="str">
        <x:v>0db5838; PR #89</x:v>
      </x:c>
      <x:c r="L54" s="170" t="str">
        <x:v>Run the complete catalog again and verify whether a retry is actually needed.</x:v>
      </x:c>
      <x:c r="M54" s="170" t="str">
        <x:v>Done</x:v>
      </x:c>
      <x:c r="N54" s="170" t="str">
        <x:v>Diagnostics exclude query strings and arbitrary page content; first-attempt failures remain visible in Checkly evidence.</x:v>
      </x:c>
    </x:row>
    <x:row r="55" ht="90" customHeight="1">
      <x:c r="A55" s="170" t="str">
        <x:v>AL-050</x:v>
      </x:c>
      <x:c r="B55" s="171" t="n">
        <x:v>46215.77222222222</x:v>
      </x:c>
      <x:c r="C55" s="170" t="str">
        <x:v>T-003</x:v>
      </x:c>
      <x:c r="D55" s="170" t="str">
        <x:v>Verify complete final-head cloud catalog</x:v>
      </x:c>
      <x:c r="E55" s="170" t="str">
        <x:v>Reran all eight Checkly browser checks on commit 0db5838 with email disabled, then verified the exact-head PR release gate and merge state.</x:v>
      </x:c>
      <x:c r="F55" s="170" t="str">
        <x:v>Checkly cloud + GitHub Actions</x:v>
      </x:c>
      <x:c r="G55" s="170" t="str">
        <x:v>8/8 passed on first attempt</x:v>
      </x:c>
      <x:c r="H55" s="170" t="str">
        <x:v>Checkly run 29204005998 passed all eight checks in 1m6s without using the retry. Release gate 29203992162 passed in 1m6s; PR is mergeable and clean.</x:v>
      </x:c>
      <x:c r="I55" s="170" t="str">
        <x:v>Desktop + mobile</x:v>
      </x:c>
      <x:c r="J55" s="170" t="str">
        <x:v>https://github.com/gicheru214/pestflow-checkout-rebuild/actions/runs/29204005998</x:v>
      </x:c>
      <x:c r="K55" s="170" t="str">
        <x:v>0db5838; PR #89</x:v>
      </x:c>
      <x:c r="L55" s="170" t="str">
        <x:v>Watch scheduled route timing evidence and activate Browserbase/candidate gates when credentials and deployment authority are available.</x:v>
      </x:c>
      <x:c r="M55" s="170" t="str">
        <x:v>Done</x:v>
      </x:c>
      <x:c r="N55" s="170" t="str">
        <x:v>This is complete-catalog branch proof, not a claim that the managed Checkly definition or candidate deployment has been activated.</x:v>
      </x:c>
    </x:row>
    <x:row r="56" ht="92" customHeight="1">
      <x:c r="A56" s="170" t="str">
        <x:v>AL-051</x:v>
      </x:c>
      <x:c r="B56" s="171" t="n">
        <x:v>46215.782638888886</x:v>
      </x:c>
      <x:c r="C56" s="170" t="str">
        <x:v>T-014</x:v>
      </x:c>
      <x:c r="D56" s="170" t="str">
        <x:v>Trace intermittent Reports readiness boundary</x:v>
      </x:c>
      <x:c r="E56" s="170" t="str">
        <x:v>Traced the protected route, mobile gate, React Suspense fallback, auth loading state, Reports lazy chunk, and built asset sizes.</x:v>
      </x:c>
      <x:c r="F56" s="170" t="str">
        <x:v>Source + production build</x:v>
      </x:c>
      <x:c r="G56" s="170" t="str">
        <x:v>Perceived-broken loading gap found</x:v>
      </x:c>
      <x:c r="H56" s="170" t="str">
        <x:v>Reports renders its heading before data fetch and its chunk is about 38.9 kB; the shared lazy/session fallback exposed only an unlabeled spinner with no recovery action.</x:v>
      </x:c>
      <x:c r="I56" s="170" t="str">
        <x:v>Desktop</x:v>
      </x:c>
      <x:c r="J56" s="170" t="str">
        <x:v>src/routes/redirects.tsx; src/components/ProtectedRoute.tsx; dist/assets/Reports-*.js</x:v>
      </x:c>
      <x:c r="K56" s="170" t="str">
        <x:v>13cdcac; PR #89</x:v>
      </x:c>
      <x:c r="L56" s="170" t="str">
        <x:v>Make delayed route loading understandable and recoverable, then preserve the boundary in tests.</x:v>
      </x:c>
      <x:c r="M56" s="170" t="str">
        <x:v>Done</x:v>
      </x:c>
      <x:c r="N56" s="170" t="str">
        <x:v>The evidence points to route/session/chunk readiness rather than the Reports data-fetch render path.</x:v>
      </x:c>
    </x:row>
    <x:row r="57" ht="92" customHeight="1">
      <x:c r="A57" s="170" t="str">
        <x:v>AL-052</x:v>
      </x:c>
      <x:c r="B57" s="171" t="n">
        <x:v>46215.782638888886</x:v>
      </x:c>
      <x:c r="C57" s="170" t="str">
        <x:v>T-014</x:v>
      </x:c>
      <x:c r="D57" s="170" t="str">
        <x:v>Add stalled-route recovery and deeper diagnostics</x:v>
      </x:c>
      <x:c r="E57" s="170" t="str">
        <x:v>Replaced the anonymous spinner with an accessible Loading PestFlow status and a twelve-second delayed explanation/reload action; added loader counts, same-origin resource timing, and successful route timing logs.</x:v>
      </x:c>
      <x:c r="F57" s="170" t="str">
        <x:v>React + Checkly</x:v>
      </x:c>
      <x:c r="G57" s="170" t="str">
        <x:v>Recovery path implemented</x:v>
      </x:c>
      <x:c r="H57" s="170" t="str">
        <x:v>Two focused fallback tests, TypeScript, focused ESLint, Checkly bundle/list, and workflow parsing passed.</x:v>
      </x:c>
      <x:c r="I57" s="170" t="str">
        <x:v>Desktop</x:v>
      </x:c>
      <x:c r="J57" s="170" t="str">
        <x:v>src/routes/redirects.tsx; src/test/routeFallback.test.tsx; checkly/browser/desktop-login.spec.ts</x:v>
      </x:c>
      <x:c r="K57" s="170" t="str">
        <x:v>13cdcac; PR #89</x:v>
      </x:c>
      <x:c r="L57" s="170" t="str">
        <x:v>Run full unit/build, release gate, and cloud catalog proof.</x:v>
      </x:c>
      <x:c r="M57" s="170" t="str">
        <x:v>Done</x:v>
      </x:c>
      <x:c r="N57" s="170" t="str">
        <x:v>Delayed users now see that work is safe and can explicitly reload instead of assuming PestFlow is dead.</x:v>
      </x:c>
    </x:row>
    <x:row r="58" ht="92" customHeight="1">
      <x:c r="A58" s="170" t="str">
        <x:v>AL-053</x:v>
      </x:c>
      <x:c r="B58" s="171" t="n">
        <x:v>46215.782638888886</x:v>
      </x:c>
      <x:c r="C58" s="170" t="str">
        <x:v>T-014</x:v>
      </x:c>
      <x:c r="D58" s="170" t="str">
        <x:v>Verify route recovery implementation</x:v>
      </x:c>
      <x:c r="E58" s="170" t="str">
        <x:v>Ran the complete unit suite and production build, pushed the recovery commit, then verified the full cloud catalog and exact-head release gate.</x:v>
      </x:c>
      <x:c r="F58" s="170" t="str">
        <x:v>Vitest + Vite + Checkly + GitHub Actions</x:v>
      </x:c>
      <x:c r="G58" s="170" t="str">
        <x:v>Implementation checkpoint green</x:v>
      </x:c>
      <x:c r="H58" s="170" t="str">
        <x:v>746/746 tests across 68 files passed; 5,698-module production build passed; catalog 29204340672 passed 8/8; gate 29204332070 passed in 1m7s.</x:v>
      </x:c>
      <x:c r="I58" s="170" t="str">
        <x:v>Desktop + mobile</x:v>
      </x:c>
      <x:c r="J58" s="170" t="str">
        <x:v>https://github.com/gicheru214/pestflow-checkout-rebuild/actions/runs/29204340672</x:v>
      </x:c>
      <x:c r="K58" s="170" t="str">
        <x:v>13cdcac; PR #89</x:v>
      </x:c>
      <x:c r="L58" s="170" t="str">
        <x:v>Expose successful timing logs in GitHub even when artifact quota is unavailable.</x:v>
      </x:c>
      <x:c r="M58" s="170" t="str">
        <x:v>Done</x:v>
      </x:c>
      <x:c r="N58" s="170" t="str">
        <x:v>Build warnings remain tracked separately; no new test, type, lint, or bundle failure was introduced.</x:v>
      </x:c>
    </x:row>
    <x:row r="59" ht="92" customHeight="1">
      <x:c r="A59" s="170" t="str">
        <x:v>AL-054</x:v>
      </x:c>
      <x:c r="B59" s="171" t="n">
        <x:v>46215.782638888886</x:v>
      </x:c>
      <x:c r="C59" s="170" t="str">
        <x:v>T-014</x:v>
      </x:c>
      <x:c r="D59" s="170" t="str">
        <x:v>Publish exact-head route timing evidence</x:v>
      </x:c>
      <x:c r="E59" s="170" t="str">
        <x:v>Enabled verbose Checkly logs, proved the isolated owner journey, and reran the complete eight-check catalog on the exact final branch head.</x:v>
      </x:c>
      <x:c r="F59" s="170" t="str">
        <x:v>Checkly cloud + GitHub Actions</x:v>
      </x:c>
      <x:c r="G59" s="170" t="str">
        <x:v>8/8 final catalog with visible timings</x:v>
      </x:c>
      <x:c r="H59" s="170" t="str">
        <x:v>Run 29204474751 passed 8/8 in 1m11s. Customers 1.457s, Jobs 2.493s, Invoices 1.477s, Reports 3.155s. Owner run 29204412780 and gate 29204407628 also passed.</x:v>
      </x:c>
      <x:c r="I59" s="170" t="str">
        <x:v>1366×900 + mobile</x:v>
      </x:c>
      <x:c r="J59" s="170" t="str">
        <x:v>https://github.com/gicheru214/pestflow-checkout-rebuild/actions/runs/29204474751</x:v>
      </x:c>
      <x:c r="K59" s="170" t="str">
        <x:v>cfa7a47; PR #89</x:v>
      </x:c>
      <x:c r="L59" s="170" t="str">
        <x:v>Review future scheduled timing evidence; activate candidate and Browserbase gates when external prerequisites exist.</x:v>
      </x:c>
      <x:c r="M59" s="170" t="str">
        <x:v>Done</x:v>
      </x:c>
      <x:c r="N59" s="170" t="str">
        <x:v>The final full run passed on first attempts; no route diagnostic or retry was needed.</x:v>
      </x:c>
    </x:row>
    <x:row r="60" ht="96" customHeight="1">
      <x:c r="A60" s="170" t="str">
        <x:v>AL-055</x:v>
      </x:c>
      <x:c r="B60" s="171" t="n">
        <x:v>46215.80902777778</x:v>
      </x:c>
      <x:c r="C60" s="170" t="str">
        <x:v>T-009</x:v>
      </x:c>
      <x:c r="D60" s="170" t="str">
        <x:v>Modernize QA workflow runtimes</x:v>
      </x:c>
      <x:c r="E60" s="170" t="str">
        <x:v>Upgraded all ten QA workflows to checkout v6, setup-node v6, and upload-artifact v7, then parsed every workflow and ran the PR release gate.</x:v>
      </x:c>
      <x:c r="F60" s="170" t="str">
        <x:v>GitHub Actions</x:v>
      </x:c>
      <x:c r="G60" s="170" t="str">
        <x:v>Node 24-generation actions verified</x:v>
      </x:c>
      <x:c r="H60" s="170" t="str">
        <x:v>Run 29204724354 passed on commit 4c114dc. The Node 20 warning disappeared; only the already nonblocking artifact-quota annotation remained.</x:v>
      </x:c>
      <x:c r="I60" s="170" t="str">
        <x:v>GitHub runner</x:v>
      </x:c>
      <x:c r="J60" s="170" t="str">
        <x:v>https://github.com/gicheru214/pestflow-checkout-rebuild/actions/runs/29204724354</x:v>
      </x:c>
      <x:c r="K60" s="170" t="str">
        <x:v>4c114dc; PR #89</x:v>
      </x:c>
      <x:c r="L60" s="170" t="str">
        <x:v>Continue exact-head browser proof after investigating the Reports-only catalog failure.</x:v>
      </x:c>
      <x:c r="M60" s="170" t="str">
        <x:v>Done</x:v>
      </x:c>
      <x:c r="N60" s="170" t="str">
        <x:v>The action upgrade itself did not create a product failure.</x:v>
      </x:c>
    </x:row>
    <x:row r="61" ht="96" customHeight="1">
      <x:c r="A61" s="170" t="str">
        <x:v>AL-056</x:v>
      </x:c>
      <x:c r="B61" s="171" t="n">
        <x:v>46215.80902777778</x:v>
      </x:c>
      <x:c r="C61" s="170" t="str">
        <x:v>T-014</x:v>
      </x:c>
      <x:c r="D61" s="170" t="str">
        <x:v>Identify the real Reports accessibility failure</x:v>
      </x:c>
      <x:c r="E61" s="170" t="str">
        <x:v>Used persistent route diagnostics across full and isolated Checkly runs to distinguish page performance from an accessibility overlay.</x:v>
      </x:c>
      <x:c r="F61" s="170" t="str">
        <x:v>Checkly cloud + source tracing</x:v>
      </x:c>
      <x:c r="G61" s="170" t="str">
        <x:v>First-run dialog race identified</x:v>
      </x:c>
      <x:c r="H61" s="170" t="str">
        <x:v>Reports, Pro Insights, and setup-goal headings were rendered; no loader was active and same-origin assets were below 400 ms. The modal hid the page heading from the accessibility tree.</x:v>
      </x:c>
      <x:c r="I61" s="170" t="str">
        <x:v>1366×900</x:v>
      </x:c>
      <x:c r="J61" s="170" t="str">
        <x:v>Runs 29204734511, 29204928330, 29205063720, and 29205191769</x:v>
      </x:c>
      <x:c r="K61" s="170" t="str">
        <x:v>1f34d91; PR #89</x:v>
      </x:c>
      <x:c r="L61" s="170" t="str">
        <x:v>Replace one-pass dialog checks with synchronization across the intentional payment-to-setup timer hand-off.</x:v>
      </x:c>
      <x:c r="M61" s="170" t="str">
        <x:v>Done</x:v>
      </x:c>
      <x:c r="N61" s="170" t="str">
        <x:v>This was test synchronization around intentional onboarding, not a slow or blank Reports page.</x:v>
      </x:c>
    </x:row>
    <x:row r="62" ht="96" customHeight="1">
      <x:c r="A62" s="170" t="str">
        <x:v>AL-057</x:v>
      </x:c>
      <x:c r="B62" s="171" t="n">
        <x:v>46215.80902777778</x:v>
      </x:c>
      <x:c r="C62" s="170" t="str">
        <x:v>T-014</x:v>
      </x:c>
      <x:c r="D62" s="170" t="str">
        <x:v>Harden chained onboarding synchronization</x:v>
      </x:c>
      <x:c r="E62" s="170" t="str">
        <x:v>Replaced the one-pass Later/Skip helper with a bounded state machine that closes only the two known dialogs through their normal non-destructive dismiss path and waits for a quiet window.</x:v>
      </x:c>
      <x:c r="F62" s="170" t="str">
        <x:v>Checkly Playwright</x:v>
      </x:c>
      <x:c r="G62" s="170" t="str">
        <x:v>Dialog-settling fix implemented</x:v>
      </x:c>
      <x:c r="H62" s="170" t="str">
        <x:v>Checkly bundle/list and focused ESLint passed. The helper changes only disposable browser local onboarding state and never changes account data.</x:v>
      </x:c>
      <x:c r="I62" s="170" t="str">
        <x:v>1366×900</x:v>
      </x:c>
      <x:c r="J62" s="170" t="str">
        <x:v>checkly/browser/desktop-login.spec.ts</x:v>
      </x:c>
      <x:c r="K62" s="170" t="str">
        <x:v>4f6df89; PR #89</x:v>
      </x:c>
      <x:c r="L62" s="170" t="str">
        <x:v>Rerun the isolated owner proof and complete catalog on the exact commit.</x:v>
      </x:c>
      <x:c r="M62" s="170" t="str">
        <x:v>Done</x:v>
      </x:c>
      <x:c r="N62" s="170" t="str">
        <x:v>The state machine polls through the 220–650 ms chained modal timers instead of racing them.</x:v>
      </x:c>
    </x:row>
    <x:row r="63" ht="96" customHeight="1">
      <x:c r="A63" s="170" t="str">
        <x:v>AL-058</x:v>
      </x:c>
      <x:c r="B63" s="171" t="n">
        <x:v>46215.80902777778</x:v>
      </x:c>
      <x:c r="C63" s="170" t="str">
        <x:v>T-011</x:v>
      </x:c>
      <x:c r="D63" s="170" t="str">
        <x:v>Attempt exact-head cloud confirmation</x:v>
      </x:c>
      <x:c r="E63" s="170" t="str">
        <x:v>Dispatched the isolated Checkly owner workflow for commit 4f6df89 and inspected its GitHub job metadata.</x:v>
      </x:c>
      <x:c r="F63" s="170" t="str">
        <x:v>GitHub Actions</x:v>
      </x:c>
      <x:c r="G63" s="170" t="str">
        <x:v>Runner refused before test start</x:v>
      </x:c>
      <x:c r="H63" s="170" t="str">
        <x:v>Run 29205363968 had zero steps because GitHub reported failed account payments or an exceeded spending limit. No PestFlow or Checkly assertion ran.</x:v>
      </x:c>
      <x:c r="I63" s="170" t="str">
        <x:v>GitHub runner</x:v>
      </x:c>
      <x:c r="J63" s="170" t="str">
        <x:v>https://github.com/gicheru214/pestflow-checkout-rebuild/actions/runs/29205363968</x:v>
      </x:c>
      <x:c r="K63" s="170" t="str">
        <x:v>4f6df89; PR #89</x:v>
      </x:c>
      <x:c r="L63" s="170" t="str">
        <x:v>Restore GitHub Actions billing/spending capacity, then rerun isolated owner and all eight checks at the exact final SHA.</x:v>
      </x:c>
      <x:c r="M63" s="170" t="str">
        <x:v>Blocked</x:v>
      </x:c>
      <x:c r="N63" s="170" t="str">
        <x:v>Classified as github_infrastructure; it is neither a product pass nor a failure.</x:v>
      </x:c>
    </x:row>
    <x:row r="64" ht="96" customHeight="1">
      <x:c r="A64" s="170" t="str">
        <x:v>AL-059</x:v>
      </x:c>
      <x:c r="B64" s="171" t="n">
        <x:v>46215.80902777778</x:v>
      </x:c>
      <x:c r="C64" s="170" t="str">
        <x:v>T-009</x:v>
      </x:c>
      <x:c r="D64" s="170" t="str">
        <x:v>Revalidate product and update review documentation</x:v>
      </x:c>
      <x:c r="E64" s="170" t="str">
        <x:v>Reran the complete unit suite and production build, expanded the two-part PRD with a simple reliability explanation, updated the code guide/runbook, pushed the docs, and refreshed draft PR #89.</x:v>
      </x:c>
      <x:c r="F64" s="170" t="str">
        <x:v>Vitest + Vite + documentation</x:v>
      </x:c>
      <x:c r="G64" s="170" t="str">
        <x:v>Local product checkpoint green</x:v>
      </x:c>
      <x:c r="H64" s="170" t="str">
        <x:v>746/746 tests across 68 files passed and the 5,698-module production build completed. GitHub then also refused the new PR job before any step because of the same billing block.</x:v>
      </x:c>
      <x:c r="I64" s="170" t="str">
        <x:v>Desktop documentation</x:v>
      </x:c>
      <x:c r="J64" s="170" t="str">
        <x:v>docs/reliability-command-center/PRD.md; docs/reliability-command-center/CODEBASE_GUIDE.md</x:v>
      </x:c>
      <x:c r="K64" s="170" t="str">
        <x:v>a5a6167; PR #89</x:v>
      </x:c>
      <x:c r="L64" s="170" t="str">
        <x:v>Keep the PR draft and do not claim final cloud green until runner capacity and Browserbase/deployment prerequisites are restored.</x:v>
      </x:c>
      <x:c r="M64" s="170" t="str">
        <x:v>Done</x:v>
      </x:c>
      <x:c r="N64" s="170" t="str">
        <x:v>Documentation explicitly separates product quality, test synchronization, and unavailable infrastructure.</x:v>
      </x:c>
    </x:row>
    <x:row r="65" ht="100" customHeight="1">
      <x:c r="A65" s="170" t="str">
        <x:v>AL-060</x:v>
      </x:c>
      <x:c r="B65" s="171" t="n">
        <x:v>46215.82638888889</x:v>
      </x:c>
      <x:c r="C65" s="170" t="str">
        <x:v>T-003</x:v>
      </x:c>
      <x:c r="D65" s="170" t="str">
        <x:v>Audit desktop coverage and failure handoff</x:v>
      </x:c>
      <x:c r="E65" s="170" t="str">
        <x:v>Fetched current remote state, compared the Checkly fallback with all Guardian owner journeys, inspected zero-step GitHub failures, and traced repair-branch behavior.</x:v>
      </x:c>
      <x:c r="F65" s="170" t="str">
        <x:v>Git + QA source audit</x:v>
      </x:c>
      <x:c r="G65" s="170" t="str">
        <x:v>Two evidence gaps found</x:v>
      </x:c>
      <x:c r="H65" s="170" t="str">
        <x:v>The fallback covered only five owner surfaces and the classifier did not recognize GitHub's payment/spending refusal text or retain the run summary containing it.</x:v>
      </x:c>
      <x:c r="I65" s="170" t="str">
        <x:v>Desktop</x:v>
      </x:c>
      <x:c r="J65" s="170" t="str">
        <x:v>checkly/browser/desktop-login.spec.ts; scripts/lib/qa-failure-classifier.mjs</x:v>
      </x:c>
      <x:c r="K65" s="170" t="str">
        <x:v>c68009f; PR #89</x:v>
      </x:c>
      <x:c r="L65" s="170" t="str">
        <x:v>Expand the fallback and make zero-step infrastructure refusals non-repairable.</x:v>
      </x:c>
      <x:c r="M65" s="170" t="str">
        <x:v>Done</x:v>
      </x:c>
      <x:c r="N65" s="170" t="str">
        <x:v>Current main still uses the older handoff until this draft PR is reviewed and merged.</x:v>
      </x:c>
    </x:row>
    <x:row r="66" ht="100" customHeight="1">
      <x:c r="A66" s="170" t="str">
        <x:v>AL-061</x:v>
      </x:c>
      <x:c r="B66" s="171" t="n">
        <x:v>46215.82638888889</x:v>
      </x:c>
      <x:c r="C66" s="170" t="str">
        <x:v>T-004</x:v>
      </x:c>
      <x:c r="D66" s="170" t="str">
        <x:v>Classify GitHub billing refusals correctly</x:v>
      </x:c>
      <x:c r="E66" s="170" t="str">
        <x:v>Added exact runner-refusal patterns, captured both upstream logs and run summaries, and added unit plus end-to-end incident tests.</x:v>
      </x:c>
      <x:c r="F66" s="170" t="str">
        <x:v>Incident classifier</x:v>
      </x:c>
      <x:c r="G66" s="170" t="str">
        <x:v>False repair path closed</x:v>
      </x:c>
      <x:c r="H66" s="170" t="str">
        <x:v>16/16 classifier and incident-builder tests passed. Zero-step payment/spending failures become infrastructure warnings with safeToCodex=false.</x:v>
      </x:c>
      <x:c r="I66" s="170" t="str">
        <x:v>N/A</x:v>
      </x:c>
      <x:c r="J66" s="170" t="str">
        <x:v>scripts/qa-failure-classifier.test.mjs; scripts/qa-build-incident.integration.test.mjs</x:v>
      </x:c>
      <x:c r="K66" s="170" t="str">
        <x:v>c68009f; PR #89</x:v>
      </x:c>
      <x:c r="L66" s="170" t="str">
        <x:v>Merge before expecting the default-branch handoff to use the new classifier.</x:v>
      </x:c>
      <x:c r="M66" s="170" t="str">
        <x:v>Done</x:v>
      </x:c>
      <x:c r="N66" s="170" t="str">
        <x:v>Real product assertions still win when product and infrastructure evidence coexist.</x:v>
      </x:c>
    </x:row>
    <x:row r="67" ht="100" customHeight="1">
      <x:c r="A67" s="170" t="str">
        <x:v>AL-062</x:v>
      </x:c>
      <x:c r="B67" s="171" t="n">
        <x:v>46215.82638888889</x:v>
      </x:c>
      <x:c r="C67" s="170" t="str">
        <x:v>T-014</x:v>
      </x:c>
      <x:c r="D67" s="170" t="str">
        <x:v>Expand authenticated desktop route certification</x:v>
      </x:c>
      <x:c r="E67" s="170" t="str">
        <x:v>Expanded the read-only Checkly owner sweep from the core five surfaces to all 26 static owner Guardian paths and added policy-enforced registry parity.</x:v>
      </x:c>
      <x:c r="F67" s="170" t="str">
        <x:v>Checkly + Guardian policy</x:v>
      </x:c>
      <x:c r="G67" s="170" t="str">
        <x:v>Complete static owner route parity</x:v>
      </x:c>
      <x:c r="H67" s="170" t="str">
        <x:v>42/42 Guardian policy tests passed. Every current static owner route is in the fallback; first-party network errors are deduplicated and tagged with the active page path.</x:v>
      </x:c>
      <x:c r="I67" s="170" t="str">
        <x:v>1366×900</x:v>
      </x:c>
      <x:c r="J67" s="170" t="str">
        <x:v>checkly/browser/desktop-login.spec.ts; scripts/qa-guardian-policy.test.mjs</x:v>
      </x:c>
      <x:c r="K67" s="170" t="str">
        <x:v>c68009f; PR #89</x:v>
      </x:c>
      <x:c r="L67" s="170" t="str">
        <x:v>Run exact-head cloud proof when GitHub runner capacity returns.</x:v>
      </x:c>
      <x:c r="M67" s="170" t="str">
        <x:v>Done</x:v>
      </x:c>
      <x:c r="N67" s="170" t="str">
        <x:v>The check remains read-only and never executes create, send, payment, or destructive actions.</x:v>
      </x:c>
    </x:row>
    <x:row r="68" ht="100" customHeight="1">
      <x:c r="A68" s="170" t="str">
        <x:v>AL-063</x:v>
      </x:c>
      <x:c r="B68" s="171" t="n">
        <x:v>46215.82638888889</x:v>
      </x:c>
      <x:c r="C68" s="170" t="str">
        <x:v>T-014</x:v>
      </x:c>
      <x:c r="D68" s="170" t="str">
        <x:v>Verify Services accessibility and chained onboarding</x:v>
      </x:c>
      <x:c r="E68" s="170" t="str">
        <x:v>Rendered the branch in the in-app browser, reproduced payment-to-setup modal chaining, dismissed both through normal local-only actions, and verified the Services page after converting its title to h1.</x:v>
      </x:c>
      <x:c r="F68" s="170" t="str">
        <x:v>In-app Browser</x:v>
      </x:c>
      <x:c r="G68" s="170" t="str">
        <x:v>Accessible responsive page verified</x:v>
      </x:c>
      <x:c r="H68" s="170" t="str">
        <x:v>One Services level-one heading, zero dialogs, and zero horizontal overflow at 1440×900, 1280×800, and 1024×768.</x:v>
      </x:c>
      <x:c r="I68" s="170" t="str">
        <x:v>1440×900; 1280×800; 1024×768</x:v>
      </x:c>
      <x:c r="J68" s="170" t="str">
        <x:v>src/features/services/Services.tsx</x:v>
      </x:c>
      <x:c r="K68" s="170" t="str">
        <x:v>c68009f; PR #89</x:v>
      </x:c>
      <x:c r="L68" s="170" t="str">
        <x:v>Retain the heading contract in the authenticated route sweep.</x:v>
      </x:c>
      <x:c r="M68" s="170" t="str">
        <x:v>Done</x:v>
      </x:c>
      <x:c r="N68" s="170" t="str">
        <x:v>The browser skill confirmed rendered behavior rather than relying only on source markup.</x:v>
      </x:c>
    </x:row>
    <x:row r="69" ht="100" customHeight="1">
      <x:c r="A69" s="170" t="str">
        <x:v>AL-064</x:v>
      </x:c>
      <x:c r="B69" s="171" t="n">
        <x:v>46215.82638888889</x:v>
      </x:c>
      <x:c r="C69" s="170" t="str">
        <x:v>T-009</x:v>
      </x:c>
      <x:c r="D69" s="170" t="str">
        <x:v>Run complete local and production desktop evidence</x:v>
      </x:c>
      <x:c r="E69" s="170" t="str">
        <x:v>Ran the full unit suite, Guardian/incident policies, TypeScript, Checkly bundle, production build, and deterministic production desktop workflows.</x:v>
      </x:c>
      <x:c r="F69" s="170" t="str">
        <x:v>Vitest + Node + Vite + Playwright</x:v>
      </x:c>
      <x:c r="G69" s="170" t="str">
        <x:v>Core evidence green</x:v>
      </x:c>
      <x:c r="H69" s="170" t="str">
        <x:v>746/746 unit tests, 42/42 Guardian policy tests, 16/16 incident tests, TypeScript, 5,698-module build, and 8/8 production desktop workflows passed.</x:v>
      </x:c>
      <x:c r="I69" s="170" t="str">
        <x:v>1440×900; 1280×800; 1024×768</x:v>
      </x:c>
      <x:c r="J69" s="170" t="str">
        <x:v>artifacts/desktop-critical/playwright-results.json</x:v>
      </x:c>
      <x:c r="K69" s="170" t="str">
        <x:v>c68009f; PR #89</x:v>
      </x:c>
      <x:c r="L69" s="170" t="str">
        <x:v>Complete delegated exact-branch feature evidence and publish.</x:v>
      </x:c>
      <x:c r="M69" s="170" t="str">
        <x:v>Done</x:v>
      </x:c>
      <x:c r="N69" s="170" t="str">
        <x:v>Provider payment sends remained disabled; the deterministic suite used isolated QA fixtures.</x:v>
      </x:c>
    </x:row>
    <x:row r="70" ht="100" customHeight="1">
      <x:c r="A70" s="170" t="str">
        <x:v>AL-065</x:v>
      </x:c>
      <x:c r="B70" s="171" t="n">
        <x:v>46215.82638888889</x:v>
      </x:c>
      <x:c r="C70" s="170" t="str">
        <x:v>T-009</x:v>
      </x:c>
      <x:c r="D70" s="170" t="str">
        <x:v>Eliminate cross-worktree local browser evidence</x:v>
      </x:c>
      <x:c r="E70" s="170" t="str">
        <x:v>Stopped an invalid two-failure run after proving port 5173 belonged to pestflow-growth-kit, moved local QA to a dedicated strict port, required explicit reuse opt-in, and reran the exact branch.</x:v>
      </x:c>
      <x:c r="F70" s="170" t="str">
        <x:v>Playwright + process inspection</x:v>
      </x:c>
      <x:c r="G70" s="170" t="str">
        <x:v>Wrong-server false evidence prevented</x:v>
      </x:c>
      <x:c r="H70" s="170" t="str">
        <x:v>The invalid run had 2 unexpected and 191 skipped. The exact c680 branch then passed all 193 delegated desktop behaviors in 3.8 minutes; a focused default-port proof also passed while the foreign server remained active.</x:v>
      </x:c>
      <x:c r="I70" s="170" t="str">
        <x:v>Desktop Chrome</x:v>
      </x:c>
      <x:c r="J70" s="170" t="str">
        <x:v>playwright.staging-features.config.ts; artifacts/staging-features/playwright-results.json</x:v>
      </x:c>
      <x:c r="K70" s="170" t="str">
        <x:v>c68009f; PR #89</x:v>
      </x:c>
      <x:c r="L70" s="170" t="str">
        <x:v>Keep strict-port and no-reuse policy enforced by Guardian tests.</x:v>
      </x:c>
      <x:c r="M70" s="170" t="str">
        <x:v>Done</x:v>
      </x:c>
      <x:c r="N70" s="170" t="str">
        <x:v>The two initial failures were environment-invalid, not PestFlow product failures.</x:v>
      </x:c>
    </x:row>
    <x:row r="71" ht="100" customHeight="1">
      <x:c r="A71" s="170" t="str">
        <x:v>AL-066</x:v>
      </x:c>
      <x:c r="B71" s="171" t="n">
        <x:v>46215.82638888889</x:v>
      </x:c>
      <x:c r="C71" s="170" t="str">
        <x:v>T-011</x:v>
      </x:c>
      <x:c r="D71" s="170" t="str">
        <x:v>Publish expanded desktop certification checkpoint</x:v>
      </x:c>
      <x:c r="E71" s="170" t="str">
        <x:v>Committed and pushed c68009f, refreshed draft PR #89, and attempted both the PR gate and isolated exact-head owner proof.</x:v>
      </x:c>
      <x:c r="F71" s="170" t="str">
        <x:v>Git + GitHub Actions</x:v>
      </x:c>
      <x:c r="G71" s="170" t="str">
        <x:v>Branch published; cloud runner still blocked</x:v>
      </x:c>
      <x:c r="H71" s="170" t="str">
        <x:v>Remote and local SHA match. PR gate 29206496145 and owner run 29206513846 each completed with zero steps because GitHub runner capacity remains unavailable.</x:v>
      </x:c>
      <x:c r="I71" s="170" t="str">
        <x:v>GitHub runner</x:v>
      </x:c>
      <x:c r="J71" s="170" t="str">
        <x:v>https://github.com/gicheru214/pestflow-checkout-rebuild/actions/runs/29206513846</x:v>
      </x:c>
      <x:c r="K71" s="170" t="str">
        <x:v>c68009f; PR #89</x:v>
      </x:c>
      <x:c r="L71" s="170" t="str">
        <x:v>Restore GitHub Actions billing/spending capacity, then rerun owner and full catalog at c68009f or the later final head.</x:v>
      </x:c>
      <x:c r="M71" s="170" t="str">
        <x:v>Blocked</x:v>
      </x:c>
      <x:c r="N71" s="170" t="str">
        <x:v>PR remains draft, mergeable, and correctly unstable; no cloud green is claimed.</x:v>
      </x:c>
    </x:row>
    <x:row r="72" ht="104" customHeight="1">
      <x:c r="A72" s="170" t="str">
        <x:v>AL-067</x:v>
      </x:c>
      <x:c r="B72" s="171" t="n">
        <x:v>46215.847916666666</x:v>
      </x:c>
      <x:c r="C72" s="170" t="str">
        <x:v>T-009</x:v>
      </x:c>
      <x:c r="D72" s="170" t="str">
        <x:v>Audit deterministic QA fixture lifecycle</x:v>
      </x:c>
      <x:c r="E72" s="170" t="str">
        <x:v>Traced production desktop signup, onboarding, invite, email, account deletion, company cascade, and teardown behavior end to end.</x:v>
      </x:c>
      <x:c r="F72" s="170" t="str">
        <x:v>Source + Better Auth audit</x:v>
      </x:c>
      <x:c r="G72" s="170" t="str">
        <x:v>Persistent-fixture risk confirmed</x:v>
      </x:c>
      <x:c r="H72" s="170" t="str">
        <x:v>The suite created two owners and three invited users per run but only disposed clients; signup welcome email also lacked a reserved-domain suppression boundary.</x:v>
      </x:c>
      <x:c r="I72" s="170" t="str">
        <x:v>Production desktop</x:v>
      </x:c>
      <x:c r="J72" s="170" t="str">
        <x:v>e2e/desktop-critical-workflows.spec.ts; server/lib/accountDeletion.ts</x:v>
      </x:c>
      <x:c r="K72" s="170" t="str">
        <x:v>db133da; PR #89</x:v>
      </x:c>
      <x:c r="L72" s="170" t="str">
        <x:v>Add narrow identity, communication, deletion, and teardown guarantees.</x:v>
      </x:c>
      <x:c r="M72" s="170" t="str">
        <x:v>Done</x:v>
      </x:c>
      <x:c r="N72" s="170" t="str">
        <x:v>Owned-company deletion was also best-effort, which could allow auth deletion after a failed business-data cascade.</x:v>
      </x:c>
    </x:row>
    <x:row r="73" ht="104" customHeight="1">
      <x:c r="A73" s="170" t="str">
        <x:v>AL-068</x:v>
      </x:c>
      <x:c r="B73" s="171" t="n">
        <x:v>46215.847916666666</x:v>
      </x:c>
      <x:c r="C73" s="170" t="str">
        <x:v>T-009</x:v>
      </x:c>
      <x:c r="D73" s="170" t="str">
        <x:v>Implement fail-closed fixture safeguards</x:v>
      </x:c>
      <x:c r="E73" s="170" t="str">
        <x:v>Added exact QA identity recognition, reserved-domain signup-email suppression, strict owned-company cascade, immediate signup registration, reverse cleanup, and password-free evidence.</x:v>
      </x:c>
      <x:c r="F73" s="170" t="str">
        <x:v>Vitest + Playwright policy</x:v>
      </x:c>
      <x:c r="G73" s="170" t="str">
        <x:v>Lifecycle implemented</x:v>
      </x:c>
      <x:c r="H73" s="170" t="str">
        <x:v>15 focused unit tests and 43/43 Guardian policy tests passed; destructive cleanup refuses every non-prefixed/non-E2E identity.</x:v>
      </x:c>
      <x:c r="I73" s="170" t="str">
        <x:v>Production desktop</x:v>
      </x:c>
      <x:c r="J73" s="170" t="str">
        <x:v>server/lib/qaIdentity.ts; artifacts/desktop-critical/fixture-cleanup.json</x:v>
      </x:c>
      <x:c r="K73" s="170" t="str">
        <x:v>db133da; PR #89</x:v>
      </x:c>
      <x:c r="L73" s="170" t="str">
        <x:v>Exercise the complete lifecycle against production and preserve any fail-closed result.</x:v>
      </x:c>
      <x:c r="M73" s="170" t="str">
        <x:v>Done</x:v>
      </x:c>
      <x:c r="N73" s="170" t="str">
        <x:v>Real payment sends remained off; invoice notification email remained skipped.</x:v>
      </x:c>
    </x:row>
    <x:row r="74" ht="104" customHeight="1">
      <x:c r="A74" s="170" t="str">
        <x:v>AL-069</x:v>
      </x:c>
      <x:c r="B74" s="171" t="n">
        <x:v>46215.847916666666</x:v>
      </x:c>
      <x:c r="C74" s="170" t="str">
        <x:v>T-009</x:v>
      </x:c>
      <x:c r="D74" s="170" t="str">
        <x:v>Run first fail-closed production cleanup proof</x:v>
      </x:c>
      <x:c r="E74" s="170" t="str">
        <x:v>Ran all desktop workflows, then required account deletion, null-session, and rejected-sign-in evidence for every new fixture.</x:v>
      </x:c>
      <x:c r="F74" s="170" t="str">
        <x:v>Production Playwright</x:v>
      </x:c>
      <x:c r="G74" s="170" t="str">
        <x:v>Product passed; teardown correctly failed</x:v>
      </x:c>
      <x:c r="H74" s="170" t="str">
        <x:v>Seven substantive workflows passed. Teardown confirmed 2/5 completely, found one intentionally logged-out role session, and treated two HTTP 429 login checks as unproven.</x:v>
      </x:c>
      <x:c r="I74" s="170" t="str">
        <x:v>1440×900; 1280×800; 1024×768</x:v>
      </x:c>
      <x:c r="J74" s="170" t="str">
        <x:v>artifacts/desktop-critical/fixture-cleanup.json</x:v>
      </x:c>
      <x:c r="K74" s="170" t="str">
        <x:v>db133da; PR #89</x:v>
      </x:c>
      <x:c r="L74" s="170" t="str">
        <x:v>Restore invalidated QA sessions and retry bounded authentication throttles.</x:v>
      </x:c>
      <x:c r="M74" s="170" t="str">
        <x:v>Done</x:v>
      </x:c>
      <x:c r="N74" s="170" t="str">
        <x:v>The suite stayed red instead of converting partial cleanup evidence into a pass.</x:v>
      </x:c>
    </x:row>
    <x:row r="75" ht="104" customHeight="1">
      <x:c r="A75" s="170" t="str">
        <x:v>AL-070</x:v>
      </x:c>
      <x:c r="B75" s="171" t="n">
        <x:v>46215.847916666666</x:v>
      </x:c>
      <x:c r="C75" s="170" t="str">
        <x:v>T-009</x:v>
      </x:c>
      <x:c r="D75" s="170" t="str">
        <x:v>Verify corrected production fixture lifecycle</x:v>
      </x:c>
      <x:c r="E75" s="170" t="str">
        <x:v>Re-authenticated invalidated QA sessions, retried rate-limited deletion verification, preserved partial evidence accurately, and reran a fresh production cycle.</x:v>
      </x:c>
      <x:c r="F75" s="170" t="str">
        <x:v>Production Playwright</x:v>
      </x:c>
      <x:c r="G75" s="170" t="str">
        <x:v>Complete workflow and cleanup proof passed</x:v>
      </x:c>
      <x:c r="H75" s="170" t="str">
        <x:v>8/8 desktop scenarios passed in 4.1m; 5/5 accounts deleted, 5/5 sessions cleared, and 5/5 credential attempts rejected.</x:v>
      </x:c>
      <x:c r="I75" s="170" t="str">
        <x:v>1440×900; 1280×800; 1024×768</x:v>
      </x:c>
      <x:c r="J75" s="170" t="str">
        <x:v>artifacts/desktop-critical/fixture-cleanup.json</x:v>
      </x:c>
      <x:c r="K75" s="170" t="str">
        <x:v>db133da; PR #89</x:v>
      </x:c>
      <x:c r="L75" s="170" t="str">
        <x:v>Keep historical fixtures separate from newly proven self-cleaning runs.</x:v>
      </x:c>
      <x:c r="M75" s="170" t="str">
        <x:v>Done</x:v>
      </x:c>
      <x:c r="N75" s="170" t="str">
        <x:v>The cleanup artifact contains IDs and boolean outcomes only, with no passwords or session cookies.</x:v>
      </x:c>
    </x:row>
    <x:row r="76" ht="104" customHeight="1">
      <x:c r="A76" s="170" t="str">
        <x:v>AL-071</x:v>
      </x:c>
      <x:c r="B76" s="171" t="n">
        <x:v>46215.847916666666</x:v>
      </x:c>
      <x:c r="C76" s="170" t="str">
        <x:v>T-009</x:v>
      </x:c>
      <x:c r="D76" s="170" t="str">
        <x:v>Run complete regression and document lifecycle</x:v>
      </x:c>
      <x:c r="E76" s="170" t="str">
        <x:v>Ran the full suite/build and updated the two-part PRD, codebase guide, runbook, blast-radius map, and PR description with fixture behavior and limits.</x:v>
      </x:c>
      <x:c r="F76" s="170" t="str">
        <x:v>Vitest + Node + Vite + docs</x:v>
      </x:c>
      <x:c r="G76" s="170" t="str">
        <x:v>Regression and documentation green</x:v>
      </x:c>
      <x:c r="H76" s="170" t="str">
        <x:v>753/753 unit, 43/43 Guardian policy, 16/16 incident, TypeScript, focused lint, and the 5,698-module production build passed.</x:v>
      </x:c>
      <x:c r="I76" s="170" t="str">
        <x:v>Desktop</x:v>
      </x:c>
      <x:c r="J76" s="170" t="str">
        <x:v>docs/reliability-command-center/PRD.md; CODEBASE_GUIDE.md</x:v>
      </x:c>
      <x:c r="K76" s="170" t="str">
        <x:v>db133da; PR #89</x:v>
      </x:c>
      <x:c r="L76" s="170" t="str">
        <x:v>Publish exact-head cloud evidence when GitHub runner access returns.</x:v>
      </x:c>
      <x:c r="M76" s="170" t="str">
        <x:v>Done</x:v>
      </x:c>
      <x:c r="N76" s="170" t="str">
        <x:v>The PRD explains the product generally; the code guide maps the implementing folders and files.</x:v>
      </x:c>
    </x:row>
    <x:row r="77" ht="104" customHeight="1">
      <x:c r="A77" s="170" t="str">
        <x:v>AL-072</x:v>
      </x:c>
      <x:c r="B77" s="171" t="n">
        <x:v>46215.847916666666</x:v>
      </x:c>
      <x:c r="C77" s="170" t="str">
        <x:v>T-011</x:v>
      </x:c>
      <x:c r="D77" s="170" t="str">
        <x:v>Publish fixture-lifecycle checkpoint</x:v>
      </x:c>
      <x:c r="E77" s="170" t="str">
        <x:v>Committed and pushed db133da, refreshed draft PR #89, and attempted both the PR release gate and isolated 26-route owner proof at the exact head.</x:v>
      </x:c>
      <x:c r="F77" s="170" t="str">
        <x:v>Git + GitHub Actions</x:v>
      </x:c>
      <x:c r="G77" s="170" t="str">
        <x:v>Branch published; cloud execution blocked</x:v>
      </x:c>
      <x:c r="H77" s="170" t="str">
        <x:v>PR gate 29207515135 and owner run 29207536485 each completed with zero steps and GitHub's payment/spending-limit annotation.</x:v>
      </x:c>
      <x:c r="I77" s="170" t="str">
        <x:v>GitHub runner</x:v>
      </x:c>
      <x:c r="J77" s="170" t="str">
        <x:v>https://github.com/gicheru214/pestflow-checkout-rebuild/actions/runs/29207536485</x:v>
      </x:c>
      <x:c r="K77" s="170" t="str">
        <x:v>db133da; PR #89</x:v>
      </x:c>
      <x:c r="L77" s="170" t="str">
        <x:v>Restore GitHub Actions billing/spending capacity and rerun both at the exact head.</x:v>
      </x:c>
      <x:c r="M77" s="170" t="str">
        <x:v>Blocked</x:v>
      </x:c>
      <x:c r="N77" s="170" t="str">
        <x:v>Draft PR remains mergeable and correctly unstable; no exact-head cloud green is claimed.</x:v>
      </x:c>
    </x:row>
    <x:row r="78" ht="108" customHeight="1">
      <x:c r="A78" s="170" t="str">
        <x:v>AL-073</x:v>
      </x:c>
      <x:c r="B78" s="171" t="n">
        <x:v>46215.854166666664</x:v>
      </x:c>
      <x:c r="C78" s="170" t="str">
        <x:v>T-015</x:v>
      </x:c>
      <x:c r="D78" s="170" t="str">
        <x:v>Inventory historical production QA fixtures</x:v>
      </x:c>
      <x:c r="E78" s="170" t="str">
        <x:v>Added a counts-only command with explicit acknowledgement, database-enforced read-only transaction, statement timeout, aggregate output, and a policy test rejecting SQL write verbs; executed it inside Railway's private production network.</x:v>
      </x:c>
      <x:c r="F78" s="170" t="str">
        <x:v>Railway SSH + Postgres</x:v>
      </x:c>
      <x:c r="G78" s="170" t="str">
        <x:v>Historical scope quantified without mutation</x:v>
      </x:c>
      <x:c r="H78" s="170" t="str">
        <x:v>Found 55 QA users/accounts, 22 owned companies, 66 sessions, and 22 each of customers, jobs, and invoices, plus aggregate dependent-table counts. No values, IDs, credentials, or records were returned.</x:v>
      </x:c>
      <x:c r="I78" s="170" t="str">
        <x:v>Production database</x:v>
      </x:c>
      <x:c r="J78" s="170" t="str">
        <x:v>artifacts/desktop-critical/historical-fixture-inventory.json</x:v>
      </x:c>
      <x:c r="K78" s="170" t="str">
        <x:v>addd1a6; PR #89</x:v>
      </x:c>
      <x:c r="L78" s="170" t="str">
        <x:v>Obtain explicit approval before transactional historical deletion.</x:v>
      </x:c>
      <x:c r="M78" s="170" t="str">
        <x:v>Done</x:v>
      </x:c>
      <x:c r="N78" s="170" t="str">
        <x:v>A local attempt failed on Railway private DNS; the same source then succeeded remotely with readOnly=true.</x:v>
      </x:c>
    </x:row>
    <x:row r="79" ht="108" customHeight="1">
      <x:c r="A79" s="170" t="str">
        <x:v>AL-074</x:v>
      </x:c>
      <x:c r="B79" s="171" t="n">
        <x:v>46215.854166666664</x:v>
      </x:c>
      <x:c r="C79" s="170" t="str">
        <x:v>T-011</x:v>
      </x:c>
      <x:c r="D79" s="170" t="str">
        <x:v>Publish read-only inventory checkpoint</x:v>
      </x:c>
      <x:c r="E79" s="170" t="str">
        <x:v>Committed and pushed addd1a6, updated draft PR #89, and attempted the PR release gate plus isolated owner proof on the new exact head.</x:v>
      </x:c>
      <x:c r="F79" s="170" t="str">
        <x:v>Git + GitHub Actions</x:v>
      </x:c>
      <x:c r="G79" s="170" t="str">
        <x:v>Inventory published; cloud still blocked</x:v>
      </x:c>
      <x:c r="H79" s="170" t="str">
        <x:v>44/44 policy, TypeScript, focused lint, and 5,698-module build passed. Runs 29207823858 and 29207830428 each started zero steps because of GitHub billing/spending refusal.</x:v>
      </x:c>
      <x:c r="I79" s="170" t="str">
        <x:v>GitHub runner</x:v>
      </x:c>
      <x:c r="J79" s="170" t="str">
        <x:v>https://github.com/gicheru214/pestflow-checkout-rebuild/actions/runs/29207830428</x:v>
      </x:c>
      <x:c r="K79" s="170" t="str">
        <x:v>addd1a6; PR #89</x:v>
      </x:c>
      <x:c r="L79" s="170" t="str">
        <x:v>Restore Actions capacity, rerun exact-head cloud proof, and separately approve or decline historical deletion.</x:v>
      </x:c>
      <x:c r="M79" s="170" t="str">
        <x:v>Blocked</x:v>
      </x:c>
      <x:c r="N79" s="170" t="str">
        <x:v>The draft PR remains mergeable and unstable; production inventory success is not a cloud browser certification.</x:v>
      </x:c>
    </x:row>
    <x:row r="80" ht="112" customHeight="1">
      <x:c r="A80" s="170" t="str">
        <x:v>AL-075</x:v>
      </x:c>
      <x:c r="B80" s="171" t="n">
        <x:v>46215.90625</x:v>
      </x:c>
      <x:c r="C80" s="170" t="str">
        <x:v>T-007</x:v>
      </x:c>
      <x:c r="D80" s="170" t="str">
        <x:v>Centralize complete owner-route coverage</x:v>
      </x:c>
      <x:c r="E80" s="170" t="str">
        <x:v>Created one 26-route readiness catalog and made both the deterministic production suite and Checkly owner fallback consume it; added policy parity enforcement.</x:v>
      </x:c>
      <x:c r="F80" s="170" t="str">
        <x:v>Playwright + Checkly</x:v>
      </x:c>
      <x:c r="G80" s="170" t="str">
        <x:v>78 deterministic route/width checks defined</x:v>
      </x:c>
      <x:c r="H80" s="170" t="str">
        <x:v>26 owner routes at 1440×900, 1280×800, and 1024×768; failures aggregate so later security, business, and cleanup checks still run.</x:v>
      </x:c>
      <x:c r="I80" s="170" t="str">
        <x:v>Three desktop widths</x:v>
      </x:c>
      <x:c r="J80" s="170" t="str">
        <x:v>qa/guardian/desktop-owner-route-catalog.json</x:v>
      </x:c>
      <x:c r="K80" s="170" t="str">
        <x:v>Pending PestFlow commit; PR #89</x:v>
      </x:c>
      <x:c r="L80" s="170" t="str">
        <x:v>Run the complete live production matrix and classify every failure.</x:v>
      </x:c>
      <x:c r="M80" s="170" t="str">
        <x:v>Done</x:v>
      </x:c>
      <x:c r="N80" s="170" t="str">
        <x:v>The catalog is shared instead of duplicating route lists across two browser systems.</x:v>
      </x:c>
    </x:row>
    <x:row r="81" ht="112" customHeight="1">
      <x:c r="A81" s="170" t="str">
        <x:v>AL-076</x:v>
      </x:c>
      <x:c r="B81" s="171" t="n">
        <x:v>46215.90625</x:v>
      </x:c>
      <x:c r="C81" s="170" t="str">
        <x:v>T-007</x:v>
      </x:c>
      <x:c r="D81" s="170" t="str">
        <x:v>Audit all production owner routes</x:v>
      </x:c>
      <x:c r="E81" s="170" t="str">
        <x:v>Executed the expanded deterministic suite against live PestFlow and preserved the complete route matrix plus the remaining business/security and fixture-cleanup evidence.</x:v>
      </x:c>
      <x:c r="F81" s="170" t="str">
        <x:v>Production Playwright</x:v>
      </x:c>
      <x:c r="G81" s="170" t="str">
        <x:v>69/78 route/width contracts passed</x:v>
      </x:c>
      <x:c r="H81" s="170" t="str">
        <x:v>Services, SMS Contacts, and Common Replies failed at all three widths; Settings also emitted first-party GET /companies/branches 500. All later business/security tests passed and cleanup deleted 5/5 accounts.</x:v>
      </x:c>
      <x:c r="I81" s="170" t="str">
        <x:v>1440×900; 1280×800; 1024×768</x:v>
      </x:c>
      <x:c r="J81" s="170" t="str">
        <x:v>artifacts/desktop-critical/owner-route-matrix.json</x:v>
      </x:c>
      <x:c r="K81" s="170" t="str">
        <x:v>PR #89</x:v>
      </x:c>
      <x:c r="L81" s="170" t="str">
        <x:v>Fix the four customer-visible contracts and prove them on the exact branch.</x:v>
      </x:c>
      <x:c r="M81" s="170" t="str">
        <x:v>Done</x:v>
      </x:c>
      <x:c r="N81" s="170" t="str">
        <x:v>Nine failed combinations were three surfaces repeated across three required widths, not nine unrelated bugs.</x:v>
      </x:c>
    </x:row>
    <x:row r="82" ht="112" customHeight="1">
      <x:c r="A82" s="170" t="str">
        <x:v>AL-077</x:v>
      </x:c>
      <x:c r="B82" s="171" t="n">
        <x:v>46215.90625</x:v>
      </x:c>
      <x:c r="C82" s="170" t="str">
        <x:v>T-016</x:v>
      </x:c>
      <x:c r="D82" s="170" t="str">
        <x:v>Repair production bugs found by the exhaustive audit</x:v>
      </x:c>
      <x:c r="E82" s="170" t="str">
        <x:v>Added missing layout titles for SMS Contacts/Common Replies, a defensive AppLayout/help-center title contract, and company-scoped branch CRUD routes before the dynamic /companies/:id route.</x:v>
      </x:c>
      <x:c r="F82" s="170" t="str">
        <x:v>PestFlow UI + API</x:v>
      </x:c>
      <x:c r="G82" s="170" t="str">
        <x:v>Root causes fixed on branch</x:v>
      </x:c>
      <x:c r="H82" s="170" t="str">
        <x:v>The undefined title caused both error-boundary screens; the missing literal API route interpreted branches as a company UUID and returned 500. Services readiness was already corrected by the branch version.</x:v>
      </x:c>
      <x:c r="I82" s="170" t="str">
        <x:v>Desktop application</x:v>
      </x:c>
      <x:c r="J82" s="170" t="str">
        <x:v>src/components/AppLayout.tsx; server/routes/companies.ts</x:v>
      </x:c>
      <x:c r="K82" s="170" t="str">
        <x:v>Pending PestFlow commit; PR #89</x:v>
      </x:c>
      <x:c r="L82" s="170" t="str">
        <x:v>Run focused rendered and unit regressions, then the complete desktop suite.</x:v>
      </x:c>
      <x:c r="M82" s="170" t="str">
        <x:v>Done</x:v>
      </x:c>
      <x:c r="N82" s="170" t="str">
        <x:v>Production is not claimed fixed until the reviewed commit is deployed and audited 78/78.</x:v>
      </x:c>
    </x:row>
    <x:row r="83" ht="112" customHeight="1">
      <x:c r="A83" s="170" t="str">
        <x:v>AL-078</x:v>
      </x:c>
      <x:c r="B83" s="171" t="n">
        <x:v>46215.90625</x:v>
      </x:c>
      <x:c r="C83" s="170" t="str">
        <x:v>T-016</x:v>
      </x:c>
      <x:c r="D83" s="170" t="str">
        <x:v>Prove repaired surfaces on the exact branch</x:v>
      </x:c>
      <x:c r="E83" s="170" t="str">
        <x:v>Added contract tests for branch route ordering/isolation and layout-title protection, then rendered Services, SMS Contacts, Common Replies, and Settings at all three required widths.</x:v>
      </x:c>
      <x:c r="F83" s="170" t="str">
        <x:v>Vitest + local Playwright</x:v>
      </x:c>
      <x:c r="G83" s="170" t="str">
        <x:v>Focused regression passed</x:v>
      </x:c>
      <x:c r="H83" s="170" t="str">
        <x:v>10/10 focused unit contracts and 15/15 route/width renders passed across Services, SMS Contacts, Common Replies, Settings, and the newer Move-In Assistant.</x:v>
      </x:c>
      <x:c r="I83" s="170" t="str">
        <x:v>1440×900; 1280×800; 1024×768</x:v>
      </x:c>
      <x:c r="J83" s="170" t="str">
        <x:v>src/test/companyBranchesRoute.test.ts; e2e/staging-feature-pages.spec.ts</x:v>
      </x:c>
      <x:c r="K83" s="170" t="str">
        <x:v>b10e176; PR #89</x:v>
      </x:c>
      <x:c r="L83" s="170" t="str">
        <x:v>Run every broad branch gate because AppLayout is shared across the product.</x:v>
      </x:c>
      <x:c r="M83" s="170" t="str">
        <x:v>Done</x:v>
      </x:c>
      <x:c r="N83" s="170" t="str">
        <x:v>The local server used a strict dedicated port, so another worktree could not supply false evidence.</x:v>
      </x:c>
    </x:row>
    <x:row r="84" ht="112" customHeight="1">
      <x:c r="A84" s="170" t="str">
        <x:v>AL-079</x:v>
      </x:c>
      <x:c r="B84" s="171" t="n">
        <x:v>46215.90625</x:v>
      </x:c>
      <x:c r="C84" s="170" t="str">
        <x:v>T-009</x:v>
      </x:c>
      <x:c r="D84" s="170" t="str">
        <x:v>Complete exhaustive branch regression</x:v>
      </x:c>
      <x:c r="E84" s="170" t="str">
        <x:v>Ran the full unit, policy, incident, type, focused lint, build, Checkly bundle, and delegated rendered desktop suites after the shared-layout and API changes.</x:v>
      </x:c>
      <x:c r="F84" s="170" t="str">
        <x:v>Local verification</x:v>
      </x:c>
      <x:c r="G84" s="170" t="str">
        <x:v>All branch gates passed</x:v>
      </x:c>
      <x:c r="H84" s="170" t="str">
        <x:v>769/769 unit, 44/44 policy, 16/16 incident, TypeScript, focused ESLint, production build, Checkly bundle, and an uncontended 194/194 rendered desktop rerun passed.</x:v>
      </x:c>
      <x:c r="I84" s="170" t="str">
        <x:v>Full desktop catalog</x:v>
      </x:c>
      <x:c r="J84" s="170" t="str">
        <x:v>Local command evidence; PR #89</x:v>
      </x:c>
      <x:c r="K84" s="170" t="str">
        <x:v>b10e176; PR #89</x:v>
      </x:c>
      <x:c r="L84" s="170" t="str">
        <x:v>Update PRD, code guide, tracker, commit, push, and retry exact-head cloud gates.</x:v>
      </x:c>
      <x:c r="M84" s="170" t="str">
        <x:v>Done</x:v>
      </x:c>
      <x:c r="N84" s="170" t="str">
        <x:v>Build warnings remain separately tracked; no failing branch regression was hidden or quarantined.</x:v>
      </x:c>
    </x:row>
    <x:row r="85" ht="112" customHeight="1">
      <x:c r="A85" s="170" t="str">
        <x:v>AL-080</x:v>
      </x:c>
      <x:c r="B85" s="171" t="n">
        <x:v>46215.90625</x:v>
      </x:c>
      <x:c r="C85" s="170" t="str">
        <x:v>T-003</x:v>
      </x:c>
      <x:c r="D85" s="170" t="str">
        <x:v>Publish standalone Browser Base QA control plane</x:v>
      </x:c>
      <x:c r="E85" s="170" t="str">
        <x:v>Corrected the repository split by publishing the reusable runner, policies, route registry, outcome oracles, workflows, PRD, code guide, and tracker in Browser-Base-QA; verified collaborator access and active workflows.</x:v>
      </x:c>
      <x:c r="F85" s="170" t="str">
        <x:v>GitHub + standalone Node</x:v>
      </x:c>
      <x:c r="G85" s="170" t="str">
        <x:v>Shared repository is operational</x:v>
      </x:c>
      <x:c r="H85" s="170" t="str">
        <x:v>Browser-Base-QA commits eb251f2, 7284800, and a468b1a are on main; yawbtng has write access and both accounts are CODEOWNERS.</x:v>
      </x:c>
      <x:c r="I85" s="170" t="str">
        <x:v>External PestFlow QA</x:v>
      </x:c>
      <x:c r="J85" s="170" t="str">
        <x:v>https://github.com/gicheru214/Browser-Base-QA</x:v>
      </x:c>
      <x:c r="K85" s="170" t="str">
        <x:v>a468b1a</x:v>
      </x:c>
      <x:c r="L85" s="170" t="str">
        <x:v>Add Browserbase secrets/context and deploy PestFlow commit identity before requiring the external gate.</x:v>
      </x:c>
      <x:c r="M85" s="170" t="str">
        <x:v>Done</x:v>
      </x:c>
      <x:c r="N85" s="170" t="str">
        <x:v>Live public oracles passed DB/schema 2/4 and correctly failed missing deployment.commitSha on current production.</x:v>
      </x:c>
    </x:row>
    <x:row r="86" ht="112" customHeight="1">
      <x:c r="A86" s="170" t="str">
        <x:v>AL-081</x:v>
      </x:c>
      <x:c r="B86" s="171" t="n">
        <x:v>46215.90625</x:v>
      </x:c>
      <x:c r="C86" s="170" t="str">
        <x:v>T-009</x:v>
      </x:c>
      <x:c r="D86" s="170" t="str">
        <x:v>Document audit results and repository boundary</x:v>
      </x:c>
      <x:c r="E86" s="170" t="str">
        <x:v>Updated the PestFlow Guardian guide, two-part PRD, codebase map, tracker, and activation boundary with exact production, branch, and standalone-repository evidence.</x:v>
      </x:c>
      <x:c r="F86" s="170" t="str">
        <x:v>Documentation + Excel</x:v>
      </x:c>
      <x:c r="G86" s="170" t="str">
        <x:v>Review trail current before publish</x:v>
      </x:c>
      <x:c r="H86" s="170" t="str">
        <x:v>All five workbook tabs rendered and inspected with no formula errors. Current catalog is 27 routes/81 width checks; historical live evidence remains 69/78 until deploy and rerun.</x:v>
      </x:c>
      <x:c r="I86" s="170" t="str">
        <x:v>Desktop review</x:v>
      </x:c>
      <x:c r="J86" s="170" t="str">
        <x:v>docs/reliability-command-center; activity workbook</x:v>
      </x:c>
      <x:c r="K86" s="170" t="str">
        <x:v>b10e176; PR #89</x:v>
      </x:c>
      <x:c r="L86" s="170" t="str">
        <x:v>Commit and push the verified PestFlow branch, then record exact cloud state.</x:v>
      </x:c>
      <x:c r="M86" s="170" t="str">
        <x:v>Done</x:v>
      </x:c>
      <x:c r="N86" s="170" t="str">
        <x:v>This prevents the standalone repository, branch result, and live PestFlow state from being confused again.</x:v>
      </x:c>
    </x:row>
    <x:row r="87" ht="116" customHeight="1">
      <x:c r="A87" s="170" t="str">
        <x:v>AL-082</x:v>
      </x:c>
      <x:c r="B87" s="171" t="n">
        <x:v>46215.913194444445</x:v>
      </x:c>
      <x:c r="C87" s="170" t="str">
        <x:v>T-009</x:v>
      </x:c>
      <x:c r="D87" s="170" t="str">
        <x:v>Integrate latest PestFlow main without losing QA fixes</x:v>
      </x:c>
      <x:c r="E87" s="170" t="str">
        <x:v>Fetched seven newer main commits, merged them into the QA branch, combined the AppLayout setup-prompt behavior with the title fallback, and detected the new Move-In Assistant route through the parity contract.</x:v>
      </x:c>
      <x:c r="F87" s="170" t="str">
        <x:v>Git merge + complete local gates</x:v>
      </x:c>
      <x:c r="G87" s="170" t="str">
        <x:v>Current main integrated and coverage expanded</x:v>
      </x:c>
      <x:c r="H87" s="170" t="str">
        <x:v>Catalog grew dynamically from 26 routes/78 checks to 27 routes/81 checks. 769/769 unit, 44/44 policy, 16/16 incident, build, tsc, lint, Checkly bundle, 15/15 focused renders, and 194/194 uncontended behaviors passed.</x:v>
      </x:c>
      <x:c r="I87" s="170" t="str">
        <x:v>1440×900; 1280×800; 1024×768</x:v>
      </x:c>
      <x:c r="J87" s="170" t="str">
        <x:v>b10e176; PR #89</x:v>
      </x:c>
      <x:c r="K87" s="170" t="str">
        <x:v>b10e176</x:v>
      </x:c>
      <x:c r="L87" s="170" t="str">
        <x:v>Deploy reviewed head and rerun all 81 production contracts.</x:v>
      </x:c>
      <x:c r="M87" s="170" t="str">
        <x:v>Done</x:v>
      </x:c>
      <x:c r="N87" s="170" t="str">
        <x:v>One parallel local run timed out 1/194 under unit/build contention; exact case passed 1/1 and uncontended complete rerun passed 194/194.</x:v>
      </x:c>
    </x:row>
    <x:row r="88" ht="116" customHeight="1">
      <x:c r="A88" s="170" t="str">
        <x:v>AL-083</x:v>
      </x:c>
      <x:c r="B88" s="171" t="n">
        <x:v>46215.913194444445</x:v>
      </x:c>
      <x:c r="C88" s="170" t="str">
        <x:v>T-011</x:v>
      </x:c>
      <x:c r="D88" s="170" t="str">
        <x:v>Publish and verify exact merged head</x:v>
      </x:c>
      <x:c r="E88" s="170" t="str">
        <x:v>Pushed merge commit b10e176, refreshed draft PR #89, verified it is mergeable, and ran the automatic PR gate plus an isolated owner proof on the exact SHA.</x:v>
      </x:c>
      <x:c r="F88" s="170" t="str">
        <x:v>GitHub + Checkly workflow</x:v>
      </x:c>
      <x:c r="G88" s="170" t="str">
        <x:v>Branch current; cloud proof blocked before execution</x:v>
      </x:c>
      <x:c r="H88" s="170" t="str">
        <x:v>PR gate 29210282667 and owner proof 29210311515 each had zero steps. Check-run annotations explicitly report failed recent payments or exceeded spending limit.</x:v>
      </x:c>
      <x:c r="I88" s="170" t="str">
        <x:v>GitHub runner</x:v>
      </x:c>
      <x:c r="J88" s="170" t="str">
        <x:v>https://github.com/gicheru214/pestflow-checkout-rebuild/actions/runs/29210311515</x:v>
      </x:c>
      <x:c r="K88" s="170" t="str">
        <x:v>b10e176; PR #89</x:v>
      </x:c>
      <x:c r="L88" s="170" t="str">
        <x:v>Restore GitHub Actions capacity, rerun exact-head cloud proof, then deploy and require 81/81 production certification.</x:v>
      </x:c>
      <x:c r="M88" s="170" t="str">
        <x:v>Blocked</x:v>
      </x:c>
      <x:c r="N88" s="170" t="str">
        <x:v>PR is mergeable/unstable. Billing is infrastructure evidence, not a PestFlow product verdict.</x:v>
      </x:c>
    </x:row>
    <x:row r="89" ht="116" customHeight="1">
      <x:c r="A89" s="170" t="str">
        <x:v>AL-084</x:v>
      </x:c>
      <x:c r="B89" s="171" t="n">
        <x:v>46215.92916666667</x:v>
      </x:c>
      <x:c r="C89" s="170" t="str">
        <x:v>T-007</x:v>
      </x:c>
      <x:c r="D89" s="170" t="str">
        <x:v>Register the authenticated desktop API surface</x:v>
      </x:c>
      <x:c r="E89" s="170" t="str">
        <x:v>Created one 32-endpoint owner GET registry covering the data behind customers, jobs, invoices, documents, services, equipment, chemicals, messaging, notifications, chat, estimates, migration, reviews, and reports.</x:v>
      </x:c>
      <x:c r="F89" s="170" t="str">
        <x:v>Playwright API + policy</x:v>
      </x:c>
      <x:c r="G89" s="170" t="str">
        <x:v>Complete API contract sweep implemented</x:v>
      </x:c>
      <x:c r="H89" s="170" t="str">
        <x:v>Every contract requires HTTP 200, JSON, named keys, and declared array shapes. Evidence retains status/schema/timing only and attempts all rows before aggregate failure.</x:v>
      </x:c>
      <x:c r="I89" s="170" t="str">
        <x:v>Authenticated desktop owner</x:v>
      </x:c>
      <x:c r="J89" s="170" t="str">
        <x:v>qa/guardian/desktop-owner-api-contracts.json</x:v>
      </x:c>
      <x:c r="K89" s="170" t="str">
        <x:v>7a8d746; PR #89</x:v>
      </x:c>
      <x:c r="L89" s="170" t="str">
        <x:v>Deploy the reviewed company-branches repair, then require 32/32 on the deployed SHA.</x:v>
      </x:c>
      <x:c r="M89" s="170" t="str">
        <x:v>Done</x:v>
      </x:c>
      <x:c r="N89" s="170" t="str">
        <x:v>A synthetic-tenant lifecycle also covers branch creation, one-primary enforcement, tenant denial, promotion, and deactivation.</x:v>
      </x:c>
    </x:row>
    <x:row r="90" ht="116" customHeight="1">
      <x:c r="A90" s="170" t="str">
        <x:v>AL-085</x:v>
      </x:c>
      <x:c r="B90" s="171" t="n">
        <x:v>46215.92916666667</x:v>
      </x:c>
      <x:c r="C90" s="170" t="str">
        <x:v>T-007</x:v>
      </x:c>
      <x:c r="D90" s="170" t="str">
        <x:v>Audit all registered owner APIs in production</x:v>
      </x:c>
      <x:c r="E90" s="170" t="str">
        <x:v>Ran the new complete contract sweep with five disposable accounts against the real PestFlow API and retained body-free evidence plus teardown proof.</x:v>
      </x:c>
      <x:c r="F90" s="170" t="str">
        <x:v>Production Playwright API</x:v>
      </x:c>
      <x:c r="G90" s="170" t="str">
        <x:v>31/32 passed; known branch endpoint isolated</x:v>
      </x:c>
      <x:c r="H90" s="170" t="str">
        <x:v>Only GET /companies/branches returned 500. All other 31 contracts passed; 5/5 accounts were deleted, sessions cleared, and credentials rejected.</x:v>
      </x:c>
      <x:c r="I90" s="170" t="str">
        <x:v>Production</x:v>
      </x:c>
      <x:c r="J90" s="170" t="str">
        <x:v>artifacts/desktop-critical/owner-api-contracts.json</x:v>
      </x:c>
      <x:c r="K90" s="170" t="str">
        <x:v>7a8d746; PR #89</x:v>
      </x:c>
      <x:c r="L90" s="170" t="str">
        <x:v>Deploy commit 7a8d746 and rerun the same 32 contracts before certification.</x:v>
      </x:c>
      <x:c r="M90" s="170" t="str">
        <x:v>Done</x:v>
      </x:c>
      <x:c r="N90" s="170" t="str">
        <x:v>This confirms the production failure is narrow and already repaired on the branch; production remains deliberately red until deploy.</x:v>
      </x:c>
    </x:row>
    <x:row r="91" ht="116" customHeight="1">
      <x:c r="A91" s="170" t="str">
        <x:v>AL-086</x:v>
      </x:c>
      <x:c r="B91" s="171" t="n">
        <x:v>46215.92916666667</x:v>
      </x:c>
      <x:c r="C91" s="170" t="str">
        <x:v>T-003</x:v>
      </x:c>
      <x:c r="D91" s="170" t="str">
        <x:v>Connect Browser Base QA to PestFlow owner APIs</x:v>
      </x:c>
      <x:c r="E91" s="170" t="str">
        <x:v>Copied the shared contract into Browser-Base-QA and made the recorded authenticated Browserbase owner session execute it once per Guardian run without exporting response bodies.</x:v>
      </x:c>
      <x:c r="F91" s="170" t="str">
        <x:v>Browserbase/Stagehand control plane</x:v>
      </x:c>
      <x:c r="G91" s="170" t="str">
        <x:v>Standalone PestFlow contract integration published</x:v>
      </x:c>
      <x:c r="H91" s="170" t="str">
        <x:v>6/6 standalone tests, 12-entry Guardian dry run, 32-contract validation, and moderate audit threshold passed; only 19 known low Stagehand advisories remain.</x:v>
      </x:c>
      <x:c r="I91" s="170" t="str">
        <x:v>1440/1280/1920/1024 registry</x:v>
      </x:c>
      <x:c r="J91" s="170" t="str">
        <x:v>https://github.com/gicheru214/Browser-Base-QA/commit/37f199c</x:v>
      </x:c>
      <x:c r="K91" s="170" t="str">
        <x:v>37f199c</x:v>
      </x:c>
      <x:c r="L91" s="170" t="str">
        <x:v>Add Browserbase secrets and isolated owner context before the first managed replay run.</x:v>
      </x:c>
      <x:c r="M91" s="170" t="str">
        <x:v>Done</x:v>
      </x:c>
      <x:c r="N91" s="170" t="str">
        <x:v>This makes the shared repository an executing outside-in control plane rather than a passive copy of PestFlow files.</x:v>
      </x:c>
    </x:row>
    <x:row r="92" ht="116" customHeight="1">
      <x:c r="A92" s="170" t="str">
        <x:v>AL-087</x:v>
      </x:c>
      <x:c r="B92" s="171" t="n">
        <x:v>46215.92916666667</x:v>
      </x:c>
      <x:c r="C92" s="170" t="str">
        <x:v>T-011</x:v>
      </x:c>
      <x:c r="D92" s="170" t="str">
        <x:v>Publish and classify the API-contract checkpoint</x:v>
      </x:c>
      <x:c r="E92" s="170" t="str">
        <x:v>Pushed both repositories, refreshed draft PR #89, verified the exact PestFlow head, and inspected the automatically triggered release gate.</x:v>
      </x:c>
      <x:c r="F92" s="170" t="str">
        <x:v>GitHub + GitHub Actions</x:v>
      </x:c>
      <x:c r="G92" s="170" t="str">
        <x:v>Both repos current; cloud gate blocked before execution</x:v>
      </x:c>
      <x:c r="H92" s="170" t="str">
        <x:v>PestFlow head 7a8d746 and Browser-Base-QA head 37f199c are remote. Run 29211160983 had zero steps and the same verified payment/spending-limit annotation.</x:v>
      </x:c>
      <x:c r="I92" s="170" t="str">
        <x:v>GitHub runner</x:v>
      </x:c>
      <x:c r="J92" s="170" t="str">
        <x:v>https://github.com/gicheru214/pestflow-checkout-rebuild/actions/runs/29211160983</x:v>
      </x:c>
      <x:c r="K92" s="170" t="str">
        <x:v>7a8d746; 37f199c; PR #89</x:v>
      </x:c>
      <x:c r="L92" s="170" t="str">
        <x:v>Restore Actions capacity, deploy the reviewed PestFlow head, then require 32/32 API and 81/81 route certification.</x:v>
      </x:c>
      <x:c r="M92" s="170" t="str">
        <x:v>Blocked</x:v>
      </x:c>
      <x:c r="N92" s="170" t="str">
        <x:v>PR #89 remains mergeable/unstable. No cloud or production-green result is claimed for this exact head.</x:v>
      </x:c>
    </x:row>
    <x:row r="93" ht="116" customHeight="1">
      <x:c r="A93" s="170" t="str">
        <x:v>AL-088</x:v>
      </x:c>
      <x:c r="B93" s="171" t="n">
        <x:v>46215.92916666667</x:v>
      </x:c>
      <x:c r="C93" s="170" t="str">
        <x:v>T-009</x:v>
      </x:c>
      <x:c r="D93" s="170" t="str">
        <x:v>Publish the complete PRD in Browser Base QA</x:v>
      </x:c>
      <x:c r="E93" s="170" t="str">
        <x:v>Replaced the standalone repository's short PRD summary with the complete two-part Reliability Command Center PRD from PestFlow after the repository-boundary gap was identified.</x:v>
      </x:c>
      <x:c r="F93" s="170" t="str">
        <x:v>Documentation + GitHub</x:v>
      </x:c>
      <x:c r="G93" s="170" t="str">
        <x:v>Full canonical PRD published</x:v>
      </x:c>
      <x:c r="H93" s="170" t="str">
        <x:v>Both PRD files are 492 lines with identical SHA-1 content; Browser-Base-QA commit 17795cb is pushed on main.</x:v>
      </x:c>
      <x:c r="I93" s="170" t="str">
        <x:v>Documentation</x:v>
      </x:c>
      <x:c r="J93" s="170" t="str">
        <x:v>https://github.com/gicheru214/Browser-Base-QA/blob/main/docs/PRD.md</x:v>
      </x:c>
      <x:c r="K93" s="170" t="str">
        <x:v>17795cb</x:v>
      </x:c>
      <x:c r="L93" s="170" t="str">
        <x:v>Keep the standalone PRD synchronized when product requirements materially change.</x:v>
      </x:c>
      <x:c r="M93" s="170" t="str">
        <x:v>Done</x:v>
      </x:c>
      <x:c r="N93" s="170" t="str">
        <x:v>The shared repository now contains the beginner explanation and the full product, architecture, safety, rollout, evidence, and activation specification.</x:v>
      </x:c>
    </x:row>
    <x:row r="94" ht="116" customHeight="1">
      <x:c r="A94" s="170" t="str">
        <x:v>AL-089</x:v>
      </x:c>
      <x:c r="B94" s="171" t="n">
        <x:v>46215.93541666667</x:v>
      </x:c>
      <x:c r="C94" s="170" t="str">
        <x:v>T-007</x:v>
      </x:c>
      <x:c r="D94" s="170" t="str">
        <x:v>Prove Settings and Inventory resource lifecycles</x:v>
      </x:c>
      <x:c r="E94" s="170" t="str">
        <x:v>Added one synthetic-owner scenario that creates, lists, tenant-isolates, updates, explicitly deletes, and proves absence for equipment, preset notes, and chemical products.</x:v>
      </x:c>
      <x:c r="F94" s="170" t="str">
        <x:v>Production Playwright API</x:v>
      </x:c>
      <x:c r="G94" s="170" t="str">
        <x:v>All three owner resource lifecycles passed</x:v>
      </x:c>
      <x:c r="H94" s="170" t="str">
        <x:v>Focused production run passed 1/1 in 2.4m. Every resource was removed before teardown; unrelated-owner update/delete attempts returned 404.</x:v>
      </x:c>
      <x:c r="I94" s="170" t="str">
        <x:v>Authenticated production owner</x:v>
      </x:c>
      <x:c r="J94" s="170" t="str">
        <x:v>e2e/desktop-critical-workflows.spec.ts</x:v>
      </x:c>
      <x:c r="K94" s="170" t="str">
        <x:v>2aae98e; PR #89</x:v>
      </x:c>
      <x:c r="L94" s="170" t="str">
        <x:v>Extend the same outcome depth to service documents, notifications, messaging, and inventory application logs.</x:v>
      </x:c>
      <x:c r="M94" s="170" t="str">
        <x:v>Done</x:v>
      </x:c>
      <x:c r="N94" s="170" t="str">
        <x:v>No message, payment, provider, or customer-facing action ran; all writes stayed inside reserved synthetic companies.</x:v>
      </x:c>
    </x:row>
    <x:row r="95" ht="116" customHeight="1">
      <x:c r="A95" s="170" t="str">
        <x:v>AL-090</x:v>
      </x:c>
      <x:c r="B95" s="171" t="n">
        <x:v>46215.93541666667</x:v>
      </x:c>
      <x:c r="C95" s="170" t="str">
        <x:v>T-009</x:v>
      </x:c>
      <x:c r="D95" s="170" t="str">
        <x:v>Publish resource lifecycle and synchronized PRD</x:v>
      </x:c>
      <x:c r="E95" s="170" t="str">
        <x:v>Pushed PestFlow lifecycle commit 2aae98e, updated draft PR #89, and synchronized the complete 499-line PRD into Browser-Base-QA main.</x:v>
      </x:c>
      <x:c r="F95" s="170" t="str">
        <x:v>Git + GitHub</x:v>
      </x:c>
      <x:c r="G95" s="170" t="str">
        <x:v>Product test and canonical documentation published</x:v>
      </x:c>
      <x:c r="H95" s="170" t="str">
        <x:v>PestFlow remote head matches 2aae98e. Browser-Base-QA commit 7788b30 has byte-identical PRD content to the PestFlow source.</x:v>
      </x:c>
      <x:c r="I95" s="170" t="str">
        <x:v>Documentation + test code</x:v>
      </x:c>
      <x:c r="J95" s="170" t="str">
        <x:v>https://github.com/gicheru214/Browser-Base-QA/blob/main/docs/PRD.md</x:v>
      </x:c>
      <x:c r="K95" s="170" t="str">
        <x:v>2aae98e; 7788b30; PR #89</x:v>
      </x:c>
      <x:c r="L95" s="170" t="str">
        <x:v>Keep the standalone PRD synchronized as the next outcome layers are added.</x:v>
      </x:c>
      <x:c r="M95" s="170" t="str">
        <x:v>Done</x:v>
      </x:c>
      <x:c r="N95" s="170" t="str">
        <x:v>This directly resolves the earlier repository-boundary mistake instead of letting the full PRD drift back into PestFlow only.</x:v>
      </x:c>
    </x:row>
    <x:row r="96" ht="116" customHeight="1">
      <x:c r="A96" s="170" t="str">
        <x:v>AL-091</x:v>
      </x:c>
      <x:c r="B96" s="171" t="n">
        <x:v>46215.93541666667</x:v>
      </x:c>
      <x:c r="C96" s="170" t="str">
        <x:v>T-011</x:v>
      </x:c>
      <x:c r="D96" s="170" t="str">
        <x:v>Classify exact resource-lifecycle PR gate</x:v>
      </x:c>
      <x:c r="E96" s="170" t="str">
        <x:v>Inspected the automatic PR release gate for exact PestFlow head 2aae98e and verified whether any QA command actually started.</x:v>
      </x:c>
      <x:c r="F96" s="170" t="str">
        <x:v>GitHub Actions</x:v>
      </x:c>
      <x:c r="G96" s="170" t="str">
        <x:v>Cloud gate blocked before execution</x:v>
      </x:c>
      <x:c r="H96" s="170" t="str">
        <x:v>Run 29211489437 had zero steps. Its annotation again reports failed recent payments or an exceeded spending limit.</x:v>
      </x:c>
      <x:c r="I96" s="170" t="str">
        <x:v>GitHub runner</x:v>
      </x:c>
      <x:c r="J96" s="170" t="str">
        <x:v>https://github.com/gicheru214/pestflow-checkout-rebuild/actions/runs/29211489437</x:v>
      </x:c>
      <x:c r="K96" s="170" t="str">
        <x:v>2aae98e; PR #89</x:v>
      </x:c>
      <x:c r="L96" s="170" t="str">
        <x:v>Restore Actions capacity and rerun exact-head gates; do not replace this with a product pass.</x:v>
      </x:c>
      <x:c r="M96" s="170" t="str">
        <x:v>Blocked</x:v>
      </x:c>
      <x:c r="N96" s="170" t="str">
        <x:v>PR remains mergeable/unstable. Local/live focused proof is real; cloud exact-head proof remains unavailable.</x:v>
      </x:c>
    </x:row>
    <x:row r="97" ht="116" customHeight="1">
      <x:c r="A97" s="170" t="str">
        <x:v>AL-092</x:v>
      </x:c>
      <x:c r="B97" s="171" t="n">
        <x:v>46215.94097222222</x:v>
      </x:c>
      <x:c r="C97" s="170" t="str">
        <x:v>T-007</x:v>
      </x:c>
      <x:c r="D97" s="170" t="str">
        <x:v>Prove provider-safe documents and internal communications</x:v>
      </x:c>
      <x:c r="E97" s="170" t="str">
        <x:v>Added one synthetic-owner scenario for an unsigned recipient-free service document, response-template archive, disabled auto-response rule, teammate message read state, tenant isolation, and notification preference restore.</x:v>
      </x:c>
      <x:c r="F97" s="170" t="str">
        <x:v>Production Playwright API</x:v>
      </x:c>
      <x:c r="G97" s="170" t="str">
        <x:v>Provider-safe communications lifecycle passed</x:v>
      </x:c>
      <x:c r="H97" s="170" t="str">
        <x:v>Focused production run passed 1/1 in 2.4m. It used no signatures, recipient addresses, sends, enabled rules, payments, or external provider calls.</x:v>
      </x:c>
      <x:c r="I97" s="170" t="str">
        <x:v>Authenticated production owner</x:v>
      </x:c>
      <x:c r="J97" s="170" t="str">
        <x:v>e2e/desktop-critical-workflows.spec.ts</x:v>
      </x:c>
      <x:c r="K97" s="170" t="str">
        <x:v>7f067f4; PR #89</x:v>
      </x:c>
      <x:c r="L97" s="170" t="str">
        <x:v>Add the next safe outcome layer for chemical applications, job equipment use, and Website Chat tenant state.</x:v>
      </x:c>
      <x:c r="M97" s="170" t="str">
        <x:v>Done</x:v>
      </x:c>
      <x:c r="N97" s="170" t="str">
        <x:v>Response records were archived/deleted, preferences restored, cross-company access denied, and remaining synthetic rows cascaded with account cleanup.</x:v>
      </x:c>
    </x:row>
    <x:row r="98" ht="116" customHeight="1">
      <x:c r="A98" s="170" t="str">
        <x:v>AL-093</x:v>
      </x:c>
      <x:c r="B98" s="171" t="n">
        <x:v>46215.94097222222</x:v>
      </x:c>
      <x:c r="C98" s="170" t="str">
        <x:v>T-009</x:v>
      </x:c>
      <x:c r="D98" s="170" t="str">
        <x:v>Publish communications lifecycle and synchronized PRD</x:v>
      </x:c>
      <x:c r="E98" s="170" t="str">
        <x:v>Pushed PestFlow commit 7f067f4, refreshed PR #89, and synchronized the complete 508-line PRD into Browser-Base-QA.</x:v>
      </x:c>
      <x:c r="F98" s="170" t="str">
        <x:v>Git + GitHub</x:v>
      </x:c>
      <x:c r="G98" s="170" t="str">
        <x:v>Test and canonical PRD published</x:v>
      </x:c>
      <x:c r="H98" s="170" t="str">
        <x:v>PestFlow remote head matches 7f067f4. Browser-Base-QA commit 7e2698f has byte-identical PRD content to PestFlow.</x:v>
      </x:c>
      <x:c r="I98" s="170" t="str">
        <x:v>Documentation + test code</x:v>
      </x:c>
      <x:c r="J98" s="170" t="str">
        <x:v>https://github.com/gicheru214/Browser-Base-QA/blob/main/docs/PRD.md</x:v>
      </x:c>
      <x:c r="K98" s="170" t="str">
        <x:v>7f067f4; 7e2698f; PR #89</x:v>
      </x:c>
      <x:c r="L98" s="170" t="str">
        <x:v>Keep the shared PRD and tracker current through the next outcome layer.</x:v>
      </x:c>
      <x:c r="M98" s="170" t="str">
        <x:v>Done</x:v>
      </x:c>
      <x:c r="N98" s="170" t="str">
        <x:v>The comprehensive PRD remains in the shared repository after this new PestFlow-only regression was added.</x:v>
      </x:c>
    </x:row>
    <x:row r="99" ht="116" customHeight="1">
      <x:c r="A99" s="170" t="str">
        <x:v>AL-094</x:v>
      </x:c>
      <x:c r="B99" s="171" t="n">
        <x:v>46215.94097222222</x:v>
      </x:c>
      <x:c r="C99" s="170" t="str">
        <x:v>T-011</x:v>
      </x:c>
      <x:c r="D99" s="170" t="str">
        <x:v>Classify exact communications-lifecycle PR gate</x:v>
      </x:c>
      <x:c r="E99" s="170" t="str">
        <x:v>Inspected the automatic release gate for exact PestFlow head 7f067f4 and verified whether any command executed.</x:v>
      </x:c>
      <x:c r="F99" s="170" t="str">
        <x:v>GitHub Actions</x:v>
      </x:c>
      <x:c r="G99" s="170" t="str">
        <x:v>Cloud gate blocked before execution</x:v>
      </x:c>
      <x:c r="H99" s="170" t="str">
        <x:v>Run 29211754954 had zero steps and the same failed-payment or spending-limit annotation.</x:v>
      </x:c>
      <x:c r="I99" s="170" t="str">
        <x:v>GitHub runner</x:v>
      </x:c>
      <x:c r="J99" s="170" t="str">
        <x:v>https://github.com/gicheru214/pestflow-checkout-rebuild/actions/runs/29211754954</x:v>
      </x:c>
      <x:c r="K99" s="170" t="str">
        <x:v>7f067f4; PR #89</x:v>
      </x:c>
      <x:c r="L99" s="170" t="str">
        <x:v>Restore Actions capacity and rerun exact-head gates; retain this as infrastructure evidence.</x:v>
      </x:c>
      <x:c r="M99" s="170" t="str">
        <x:v>Blocked</x:v>
      </x:c>
      <x:c r="N99" s="170" t="str">
        <x:v>PR remains mergeable/unstable. Live focused proof passed, but exact-head cloud proof is unavailable.</x:v>
      </x:c>
    </x:row>
    <x:row r="100" ht="124" customHeight="1">
      <x:c r="A100" s="170" t="str">
        <x:v>AL-095</x:v>
      </x:c>
      <x:c r="B100" s="171" t="n">
        <x:v>46215.95486111111</x:v>
      </x:c>
      <x:c r="C100" s="170" t="str">
        <x:v>T-007</x:v>
      </x:c>
      <x:c r="D100" s="170" t="str">
        <x:v>Audit operational inventory tenant references</x:v>
      </x:c>
      <x:c r="E100" s="170" t="str">
        <x:v>Traced the create paths for job equipment usage and chemical application logs and found that referenced job, equipment, customer, and technician IDs were not proven to belong to the authenticated company.</x:v>
      </x:c>
      <x:c r="F100" s="170" t="str">
        <x:v>Route and schema inspection</x:v>
      </x:c>
      <x:c r="G100" s="170" t="str">
        <x:v>Critical tenant-boundary gap confirmed</x:v>
      </x:c>
      <x:c r="H100" s="170" t="str">
        <x:v>The insert company_id was scoped, but related record IDs could point at a different company and later appear through joined operational history.</x:v>
      </x:c>
      <x:c r="I100" s="170" t="str">
        <x:v>Desktop operational APIs</x:v>
      </x:c>
      <x:c r="J100" s="170" t="str">
        <x:v>server/routes/job-equipment-used.ts; server/routes/chemical-logs.ts</x:v>
      </x:c>
      <x:c r="K100" s="170" t="str">
        <x:v>G-016; PR #89</x:v>
      </x:c>
      <x:c r="L100" s="170" t="str">
        <x:v>Reproduce with isolated synthetic companies, then repair every referenced-ID boundary.</x:v>
      </x:c>
      <x:c r="M100" s="170" t="str">
        <x:v>Done</x:v>
      </x:c>
      <x:c r="N100" s="170" t="str">
        <x:v>This is an integrity and data-isolation defect, not merely a browser presentation failure.</x:v>
      </x:c>
    </x:row>
    <x:row r="101" ht="124" customHeight="1">
      <x:c r="A101" s="170" t="str">
        <x:v>AL-096</x:v>
      </x:c>
      <x:c r="B101" s="171" t="n">
        <x:v>46215.95486111111</x:v>
      </x:c>
      <x:c r="C101" s="170" t="str">
        <x:v>T-007</x:v>
      </x:c>
      <x:c r="D101" s="170" t="str">
        <x:v>Prove current production accepts cross-company references</x:v>
      </x:c>
      <x:c r="E101" s="170" t="str">
        <x:v>Ran the controlled synthetic-owner scenario twice against production, attempting chemical-log and job-equipment writes with IDs owned by an unrelated synthetic company.</x:v>
      </x:c>
      <x:c r="F101" s="170" t="str">
        <x:v>Production Playwright API</x:v>
      </x:c>
      <x:c r="G101" s="170" t="str">
        <x:v>Current production failed tenant isolation</x:v>
      </x:c>
      <x:c r="H101" s="170" t="str">
        <x:v>Both prohibited writes returned HTTP 200 instead of 404 in both discovery runs.</x:v>
      </x:c>
      <x:c r="I101" s="170" t="str">
        <x:v>Authenticated synthetic owners</x:v>
      </x:c>
      <x:c r="J101" s="170" t="str">
        <x:v>e2e/desktop-critical-workflows.spec.ts</x:v>
      </x:c>
      <x:c r="K101" s="170" t="str">
        <x:v>G-016</x:v>
      </x:c>
      <x:c r="L101" s="170" t="str">
        <x:v>Keep production uncertified until the repaired commit is deployed and both writes return 404.</x:v>
      </x:c>
      <x:c r="M101" s="170" t="str">
        <x:v>Failed</x:v>
      </x:c>
      <x:c r="N101" s="170" t="str">
        <x:v>Each run deleted 5/5 synthetic accounts, cleared 5/5 sessions, and confirmed 5/5 logins were rejected; explicit usage cleanup also completed.</x:v>
      </x:c>
    </x:row>
    <x:row r="102" ht="124" customHeight="1">
      <x:c r="A102" s="170" t="str">
        <x:v>AL-097</x:v>
      </x:c>
      <x:c r="B102" s="171" t="n">
        <x:v>46215.95486111111</x:v>
      </x:c>
      <x:c r="C102" s="170" t="str">
        <x:v>T-016</x:v>
      </x:c>
      <x:c r="D102" s="170" t="str">
        <x:v>Enforce operational inventory tenant scope</x:v>
      </x:c>
      <x:c r="E102" s="170" t="str">
        <x:v>Added UUID validation and company-scoped existence checks before job-equipment and chemical-log inserts, plus deterministic regression coverage for invalid, foreign, and valid references.</x:v>
      </x:c>
      <x:c r="F102" s="170" t="str">
        <x:v>PestFlow API + Vitest</x:v>
      </x:c>
      <x:c r="G102" s="170" t="str">
        <x:v>Branch repair implemented and verified</x:v>
      </x:c>
      <x:c r="H102" s="170" t="str">
        <x:v>Focused tenant tests passed 6/6. Full branch gates passed 775/775 unit, 45/45 Guardian policy, 16/16 incident, TypeScript, focused lint, and the 5,699-module production build.</x:v>
      </x:c>
      <x:c r="I102" s="170" t="str">
        <x:v>Desktop operational APIs</x:v>
      </x:c>
      <x:c r="J102" s="170" t="str">
        <x:v>src/test/operationalInventoryTenantScope.test.ts</x:v>
      </x:c>
      <x:c r="K102" s="170" t="str">
        <x:v>cad0544; PR #89</x:v>
      </x:c>
      <x:c r="L102" s="170" t="str">
        <x:v>Deploy the reviewed commit and rerun the exact production isolation scenario.</x:v>
      </x:c>
      <x:c r="M102" s="170" t="str">
        <x:v>Done</x:v>
      </x:c>
      <x:c r="N102" s="170" t="str">
        <x:v>The branch now returns 404 before insertion whenever a supplied related record is not owned by the authenticated company.</x:v>
      </x:c>
    </x:row>
    <x:row r="103" ht="124" customHeight="1">
      <x:c r="A103" s="170" t="str">
        <x:v>AL-098</x:v>
      </x:c>
      <x:c r="B103" s="171" t="n">
        <x:v>46215.95486111111</x:v>
      </x:c>
      <x:c r="C103" s="170" t="str">
        <x:v>T-009</x:v>
      </x:c>
      <x:c r="D103" s="170" t="str">
        <x:v>Publish tenant-boundary fix and synchronized PRD</x:v>
      </x:c>
      <x:c r="E103" s="170" t="str">
        <x:v>Pushed PestFlow commit cad0544 and synchronized the complete 522-line PRD, including the live failure evidence and certification condition, into Browser-Base-QA.</x:v>
      </x:c>
      <x:c r="F103" s="170" t="str">
        <x:v>Git + GitHub</x:v>
      </x:c>
      <x:c r="G103" s="170" t="str">
        <x:v>Repair and canonical documentation published</x:v>
      </x:c>
      <x:c r="H103" s="170" t="str">
        <x:v>PestFlow PR #89 points at cad0544. Browser-Base-QA commit 343a154 contains a byte-identical PRD.</x:v>
      </x:c>
      <x:c r="I103" s="170" t="str">
        <x:v>Documentation + test code</x:v>
      </x:c>
      <x:c r="J103" s="170" t="str">
        <x:v>https://github.com/gicheru214/Browser-Base-QA/blob/main/docs/PRD.md</x:v>
      </x:c>
      <x:c r="K103" s="170" t="str">
        <x:v>cad0544; 343a154; PR #89</x:v>
      </x:c>
      <x:c r="L103" s="170" t="str">
        <x:v>Keep tracker evidence current and require deployed 404/404 proof before closure.</x:v>
      </x:c>
      <x:c r="M103" s="170" t="str">
        <x:v>Done</x:v>
      </x:c>
      <x:c r="N103" s="170" t="str">
        <x:v>The shared repository now explains the defect, repair, safety controls, and remaining production boundary in beginner-friendly and technical terms.</x:v>
      </x:c>
    </x:row>
    <x:row r="104" ht="124" customHeight="1">
      <x:c r="A104" s="170" t="str">
        <x:v>AL-099</x:v>
      </x:c>
      <x:c r="B104" s="171" t="n">
        <x:v>46215.95486111111</x:v>
      </x:c>
      <x:c r="C104" s="170" t="str">
        <x:v>T-011</x:v>
      </x:c>
      <x:c r="D104" s="170" t="str">
        <x:v>Classify exact tenant-boundary PR gate</x:v>
      </x:c>
      <x:c r="E104" s="170" t="str">
        <x:v>Inspected the automatic release gate for exact PestFlow head cad0544 and verified whether a validation command executed.</x:v>
      </x:c>
      <x:c r="F104" s="170" t="str">
        <x:v>GitHub Actions</x:v>
      </x:c>
      <x:c r="G104" s="170" t="str">
        <x:v>Cloud gate blocked before execution</x:v>
      </x:c>
      <x:c r="H104" s="170" t="str">
        <x:v>Run 29212212813, job 86701739111 had zero steps; GitHub annotated a failed-payment or spending-limit refusal.</x:v>
      </x:c>
      <x:c r="I104" s="170" t="str">
        <x:v>GitHub runner</x:v>
      </x:c>
      <x:c r="J104" s="170" t="str">
        <x:v>https://github.com/gicheru214/pestflow-checkout-rebuild/actions/runs/29212212813</x:v>
      </x:c>
      <x:c r="K104" s="170" t="str">
        <x:v>cad0544; PR #89</x:v>
      </x:c>
      <x:c r="L104" s="170" t="str">
        <x:v>Restore Actions capacity and rerun exact-head gates; retain the local and live evidence separately.</x:v>
      </x:c>
      <x:c r="M104" s="170" t="str">
        <x:v>Blocked</x:v>
      </x:c>
      <x:c r="N104" s="170" t="str">
        <x:v>PR remains mergeable/unstable. The red check is infrastructure evidence and did not execute product tests.</x:v>
      </x:c>
    </x:row>
    <x:row r="105">
      <x:c r="A105" s="133"/>
      <x:c r="B105" s="165"/>
      <x:c r="C105" s="133"/>
      <x:c r="D105" s="133"/>
      <x:c r="E105" s="133"/>
      <x:c r="F105" s="133"/>
      <x:c r="G105" s="133"/>
      <x:c r="H105" s="133"/>
      <x:c r="I105" s="133"/>
      <x:c r="J105" s="133"/>
      <x:c r="K105" s="133"/>
      <x:c r="L105" s="133"/>
      <x:c r="M105" s="133"/>
      <x:c r="N105" s="133"/>
    </x:row>
    <x:row r="106">
      <x:c r="B106" s="164"/>
    </x:row>
    <x:row r="107">
      <x:c r="B107" s="164"/>
    </x:row>
    <x:row r="108">
      <x:c r="B108" s="164"/>
    </x:row>
    <x:row r="109">
      <x:c r="B109" s="164"/>
    </x:row>
    <x:row r="110">
      <x:c r="B110" s="164"/>
    </x:row>
    <x:row r="111">
      <x:c r="B111" s="164"/>
    </x:row>
    <x:row r="112">
      <x:c r="B112" s="164"/>
    </x:row>
    <x:row r="113">
      <x:c r="B113" s="164"/>
    </x:row>
    <x:row r="114">
      <x:c r="B114" s="164"/>
    </x:row>
    <x:row r="115">
      <x:c r="B115" s="164"/>
    </x:row>
    <x:row r="116">
      <x:c r="B116" s="164"/>
    </x:row>
    <x:row r="117">
      <x:c r="B117" s="164"/>
    </x:row>
    <x:row r="118">
      <x:c r="B118" s="164"/>
    </x:row>
    <x:row r="119">
      <x:c r="B119" s="164"/>
    </x:row>
    <x:row r="120">
      <x:c r="B120" s="164"/>
    </x:row>
    <x:row r="121">
      <x:c r="B121" s="164"/>
    </x:row>
    <x:row r="122">
      <x:c r="B122" s="164"/>
    </x:row>
    <x:row r="123">
      <x:c r="B123" s="164"/>
    </x:row>
    <x:row r="124">
      <x:c r="B124" s="164"/>
    </x:row>
    <x:row r="125">
      <x:c r="B125" s="164"/>
    </x:row>
    <x:row r="126">
      <x:c r="B126" s="164"/>
    </x:row>
    <x:row r="127">
      <x:c r="B127" s="164"/>
    </x:row>
    <x:row r="128">
      <x:c r="B128" s="164"/>
    </x:row>
    <x:row r="129">
      <x:c r="B129" s="164"/>
    </x:row>
    <x:row r="130">
      <x:c r="B130" s="164"/>
    </x:row>
    <x:row r="131">
      <x:c r="B131" s="164"/>
    </x:row>
    <x:row r="132">
      <x:c r="B132" s="164"/>
    </x:row>
    <x:row r="133">
      <x:c r="B133" s="164"/>
    </x:row>
    <x:row r="134">
      <x:c r="B134" s="164"/>
    </x:row>
    <x:row r="135">
      <x:c r="B135" s="164"/>
    </x:row>
    <x:row r="136">
      <x:c r="B136" s="164"/>
    </x:row>
    <x:row r="137">
      <x:c r="B137" s="164"/>
    </x:row>
    <x:row r="138">
      <x:c r="B138" s="164"/>
    </x:row>
    <x:row r="139">
      <x:c r="B139" s="164"/>
    </x:row>
    <x:row r="140">
      <x:c r="B140" s="164"/>
    </x:row>
    <x:row r="141">
      <x:c r="B141" s="164"/>
    </x:row>
    <x:row r="142">
      <x:c r="B142" s="164"/>
    </x:row>
    <x:row r="143">
      <x:c r="B143" s="164"/>
    </x:row>
    <x:row r="144">
      <x:c r="B144" s="164"/>
    </x:row>
    <x:row r="145">
      <x:c r="B145" s="164"/>
    </x:row>
    <x:row r="146">
      <x:c r="B146" s="164"/>
    </x:row>
    <x:row r="147">
      <x:c r="B147" s="164"/>
    </x:row>
    <x:row r="148">
      <x:c r="B148" s="164"/>
    </x:row>
    <x:row r="149">
      <x:c r="B149" s="164"/>
    </x:row>
    <x:row r="150">
      <x:c r="B150" s="164"/>
    </x:row>
    <x:row r="151">
      <x:c r="B151" s="164"/>
    </x:row>
    <x:row r="152">
      <x:c r="B152" s="164"/>
    </x:row>
    <x:row r="153">
      <x:c r="B153" s="164"/>
    </x:row>
    <x:row r="154">
      <x:c r="B154" s="164"/>
    </x:row>
    <x:row r="155">
      <x:c r="B155" s="164"/>
    </x:row>
    <x:row r="156">
      <x:c r="B156" s="164"/>
    </x:row>
    <x:row r="157">
      <x:c r="B157" s="164"/>
    </x:row>
    <x:row r="158">
      <x:c r="B158" s="164"/>
    </x:row>
    <x:row r="159">
      <x:c r="B159" s="164"/>
    </x:row>
    <x:row r="160">
      <x:c r="B160" s="164"/>
    </x:row>
    <x:row r="161">
      <x:c r="B161" s="164"/>
    </x:row>
    <x:row r="162">
      <x:c r="B162" s="164"/>
    </x:row>
    <x:row r="163">
      <x:c r="B163" s="164"/>
    </x:row>
    <x:row r="164">
      <x:c r="B164" s="164"/>
    </x:row>
    <x:row r="165">
      <x:c r="B165" s="164"/>
    </x:row>
    <x:row r="166">
      <x:c r="B166" s="164"/>
    </x:row>
    <x:row r="167">
      <x:c r="B167" s="164"/>
    </x:row>
    <x:row r="168">
      <x:c r="B168" s="164"/>
    </x:row>
    <x:row r="169">
      <x:c r="B169" s="164"/>
    </x:row>
    <x:row r="170">
      <x:c r="B170" s="164"/>
    </x:row>
    <x:row r="171">
      <x:c r="B171" s="164"/>
    </x:row>
    <x:row r="172">
      <x:c r="B172" s="164"/>
    </x:row>
    <x:row r="173">
      <x:c r="B173" s="164"/>
    </x:row>
    <x:row r="174">
      <x:c r="B174" s="164"/>
    </x:row>
    <x:row r="175">
      <x:c r="B175" s="164"/>
    </x:row>
    <x:row r="176">
      <x:c r="B176" s="164"/>
    </x:row>
    <x:row r="177">
      <x:c r="B177" s="164"/>
    </x:row>
    <x:row r="178">
      <x:c r="B178" s="164"/>
    </x:row>
    <x:row r="179">
      <x:c r="B179" s="164"/>
    </x:row>
    <x:row r="180">
      <x:c r="B180" s="164"/>
    </x:row>
    <x:row r="181">
      <x:c r="B181" s="164"/>
    </x:row>
    <x:row r="182">
      <x:c r="B182" s="164"/>
    </x:row>
    <x:row r="183">
      <x:c r="B183" s="164"/>
    </x:row>
    <x:row r="184">
      <x:c r="B184" s="164"/>
    </x:row>
    <x:row r="185">
      <x:c r="B185" s="164"/>
    </x:row>
    <x:row r="186">
      <x:c r="B186" s="164"/>
    </x:row>
    <x:row r="187">
      <x:c r="B187" s="164"/>
    </x:row>
    <x:row r="188">
      <x:c r="B188" s="164"/>
    </x:row>
    <x:row r="189">
      <x:c r="B189" s="164"/>
    </x:row>
    <x:row r="190">
      <x:c r="B190" s="164"/>
    </x:row>
    <x:row r="191">
      <x:c r="B191" s="164"/>
    </x:row>
    <x:row r="192">
      <x:c r="B192" s="164"/>
    </x:row>
    <x:row r="193">
      <x:c r="B193" s="164"/>
    </x:row>
    <x:row r="194">
      <x:c r="B194" s="164"/>
    </x:row>
    <x:row r="195">
      <x:c r="B195" s="164"/>
    </x:row>
    <x:row r="196">
      <x:c r="B196" s="164"/>
    </x:row>
    <x:row r="197">
      <x:c r="B197" s="164"/>
    </x:row>
    <x:row r="198">
      <x:c r="B198" s="164"/>
    </x:row>
    <x:row r="199">
      <x:c r="B199" s="164"/>
    </x:row>
    <x:row r="200">
      <x:c r="B200" s="164"/>
    </x:row>
  </x:sheetData>
  <x:mergeCells>
    <x:mergeCell ref="A1:N1"/>
    <x:mergeCell ref="A2:N2"/>
  </x:mergeCells>
  <x:conditionalFormatting sqref="M6:M105">
    <x:cfRule type="containsText" dxfId="32" priority="1" operator="containsText" text="Done"/>
    <x:cfRule type="containsText" dxfId="33" priority="2" operator="containsText" text="Passed"/>
    <x:cfRule type="containsText" dxfId="34" priority="3" operator="containsText" text="In Progress"/>
    <x:cfRule type="containsText" dxfId="35" priority="4" operator="containsText" text="In Review"/>
    <x:cfRule type="containsText" dxfId="36" priority="5" operator="containsText" text="Blocked"/>
    <x:cfRule type="containsText" dxfId="37" priority="6" operator="containsText" text="Failed"/>
    <x:cfRule type="containsText" dxfId="38" priority="7" operator="containsText" text="Not Started"/>
    <x:cfRule type="containsText" dxfId="39" priority="8" operator="containsText" text="Pending"/>
  </x:conditionalFormatting>
  <x:dataValidations count="2">
    <x:dataValidation type="list" sqref="M6:M105">
      <x:formula1>"Not Started,In Progress,Blocked,In Review,Done"</x:formula1>
    </x:dataValidation>
    <x:dataValidation type="list" sqref="M6:M200">
      <x:formula1>"Not Started,In Progress,Blocked,In Review,Done"</x:formula1>
    </x:dataValidation>
  </x:dataValidations>
  <x:pageMargins left="0.7" right="0.7" top="0.75" bottom="0.75" header="0.3" footer="0.3"/>
  <x:tableParts count="1">
    <x:tablePart xmlns:r="http://schemas.openxmlformats.org/officeDocument/2006/relationships" r:id="Rceb10aa6f5c24c1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22" hidden="0" customWidth="1"/>
    <x:col min="4" max="4" width="16" hidden="0" customWidth="1"/>
    <x:col min="5" max="5" width="24" hidden="0" customWidth="1"/>
    <x:col min="6" max="6" width="12" hidden="0" customWidth="1"/>
    <x:col min="7" max="7" width="12" hidden="0" customWidth="1"/>
    <x:col min="8" max="8" width="14" hidden="0" customWidth="1"/>
    <x:col min="9" max="9" width="20" hidden="0" customWidth="1"/>
    <x:col min="10" max="10" width="28" hidden="0" customWidth="1"/>
    <x:col min="11" max="11" width="30" hidden="0" customWidth="1"/>
  </x:cols>
  <x:sheetData>
    <x:row r="1" ht="34" customHeight="1">
      <x:c r="A1" s="132" t="str">
        <x:v>QA Matrix</x:v>
      </x:c>
      <x:c r="B1" s="132" t="str">
        <x:v>QA Matrix</x:v>
      </x:c>
      <x:c r="C1" s="132" t="str">
        <x:v>QA Matrix</x:v>
      </x:c>
      <x:c r="D1" s="132" t="str">
        <x:v>QA Matrix</x:v>
      </x:c>
      <x:c r="E1" s="132" t="str">
        <x:v>QA Matrix</x:v>
      </x:c>
      <x:c r="F1" s="132" t="str">
        <x:v>QA Matrix</x:v>
      </x:c>
      <x:c r="G1" s="132" t="str">
        <x:v>QA Matrix</x:v>
      </x:c>
      <x:c r="H1" s="132" t="str">
        <x:v>QA Matrix</x:v>
      </x:c>
      <x:c r="I1" s="132" t="str">
        <x:v>QA Matrix</x:v>
      </x:c>
      <x:c r="J1" s="132" t="str">
        <x:v>QA Matrix</x:v>
      </x:c>
      <x:c r="K1" s="132" t="str">
        <x:v>QA Matrix</x:v>
      </x:c>
    </x:row>
    <x:row r="2" ht="32" customHeight="1">
      <x:c r="A2" s="7" t="str">
        <x:v>Use one row per device, browser, simulator, or viewport check. Tie each result to a Task ID, record evidence, and add rows when a feature needs broader coverage.</x:v>
      </x:c>
      <x:c r="B2" s="7" t="str">
        <x:v>Use one row per device, browser, simulator, or viewport check. Tie each result to a Task ID, record evidence, and add rows when a feature needs broader coverage.</x:v>
      </x:c>
      <x:c r="C2" s="7" t="str">
        <x:v>Use one row per device, browser, simulator, or viewport check. Tie each result to a Task ID, record evidence, and add rows when a feature needs broader coverage.</x:v>
      </x:c>
      <x:c r="D2" s="7" t="str">
        <x:v>Use one row per device, browser, simulator, or viewport check. Tie each result to a Task ID, record evidence, and add rows when a feature needs broader coverage.</x:v>
      </x:c>
      <x:c r="E2" s="7" t="str">
        <x:v>Use one row per device, browser, simulator, or viewport check. Tie each result to a Task ID, record evidence, and add rows when a feature needs broader coverage.</x:v>
      </x:c>
      <x:c r="F2" s="7" t="str">
        <x:v>Use one row per device, browser, simulator, or viewport check. Tie each result to a Task ID, record evidence, and add rows when a feature needs broader coverage.</x:v>
      </x:c>
      <x:c r="G2" s="7" t="str">
        <x:v>Use one row per device, browser, simulator, or viewport check. Tie each result to a Task ID, record evidence, and add rows when a feature needs broader coverage.</x:v>
      </x:c>
      <x:c r="H2" s="7" t="str">
        <x:v>Use one row per device, browser, simulator, or viewport check. Tie each result to a Task ID, record evidence, and add rows when a feature needs broader coverage.</x:v>
      </x:c>
      <x:c r="I2" s="7" t="str">
        <x:v>Use one row per device, browser, simulator, or viewport check. Tie each result to a Task ID, record evidence, and add rows when a feature needs broader coverage.</x:v>
      </x:c>
      <x:c r="J2" s="7" t="str">
        <x:v>Use one row per device, browser, simulator, or viewport check. Tie each result to a Task ID, record evidence, and add rows when a feature needs broader coverage.</x:v>
      </x:c>
      <x:c r="K2" s="7" t="str">
        <x:v>Use one row per device, browser, simulator, or viewport check. Tie each result to a Task ID, record evidence, and add rows when a feature needs broader coverage.</x:v>
      </x:c>
    </x:row>
    <x:row r="3">
      <x:c r="A3" s="133"/>
      <x:c r="B3" s="133"/>
      <x:c r="C3" s="133"/>
      <x:c r="D3" s="133"/>
      <x:c r="E3" s="133"/>
      <x:c r="F3" s="133"/>
      <x:c r="G3" s="133"/>
      <x:c r="H3" s="133"/>
      <x:c r="I3" s="133"/>
      <x:c r="J3" s="133"/>
      <x:c r="K3" s="133"/>
    </x:row>
    <x:row r="4">
      <x:c r="A4" s="133"/>
      <x:c r="B4" s="133"/>
      <x:c r="C4" s="133"/>
      <x:c r="D4" s="133"/>
      <x:c r="E4" s="133"/>
      <x:c r="F4" s="133"/>
      <x:c r="G4" s="133"/>
      <x:c r="H4" s="133"/>
      <x:c r="I4" s="133"/>
      <x:c r="J4" s="133"/>
      <x:c r="K4" s="133"/>
    </x:row>
    <x:row r="5" ht="15" hidden="0" customHeight="1">
      <x:c r="A5" s="160" t="str">
        <x:v>QA ID</x:v>
      </x:c>
      <x:c r="B5" s="161" t="str">
        <x:v>Device Class</x:v>
      </x:c>
      <x:c r="C5" s="161" t="str">
        <x:v>Device / Profile</x:v>
      </x:c>
      <x:c r="D5" s="161" t="str">
        <x:v>Viewport</x:v>
      </x:c>
      <x:c r="E5" s="161" t="str">
        <x:v>Browser / Platform</x:v>
      </x:c>
      <x:c r="F5" s="161" t="str">
        <x:v>Required</x:v>
      </x:c>
      <x:c r="G5" s="161" t="str">
        <x:v>Task ID</x:v>
      </x:c>
      <x:c r="H5" s="161" t="str">
        <x:v>Status</x:v>
      </x:c>
      <x:c r="I5" s="161" t="str">
        <x:v>Checked At</x:v>
      </x:c>
      <x:c r="J5" s="161" t="str">
        <x:v>Evidence</x:v>
      </x:c>
      <x:c r="K5" s="162" t="str">
        <x:v>Notes</x:v>
      </x:c>
    </x:row>
    <x:row r="6" ht="15" hidden="0" customHeight="1">
      <x:c r="A6" s="113" t="str">
        <x:v>QA-001</x:v>
      </x:c>
      <x:c r="B6" s="113" t="str">
        <x:v>Desktop</x:v>
      </x:c>
      <x:c r="C6" s="113" t="str">
        <x:v>Standard desktop</x:v>
      </x:c>
      <x:c r="D6" s="113" t="str">
        <x:v>1440 × 900</x:v>
      </x:c>
      <x:c r="E6" s="113" t="str">
        <x:v>Chrome / Playwright + Browser</x:v>
      </x:c>
      <x:c r="F6" s="113" t="str">
        <x:v>Yes</x:v>
      </x:c>
      <x:c r="G6" s="113" t="str">
        <x:v>T-007</x:v>
      </x:c>
      <x:c r="H6" s="113" t="str">
        <x:v>Passed</x:v>
      </x:c>
      <x:c r="I6" s="163" t="n">
        <x:v>46215.27099571759</x:v>
      </x:c>
      <x:c r="J6" s="113" t="str">
        <x:v>8/8 production suite; in-app browser</x:v>
      </x:c>
      <x:c r="K6" s="113" t="str">
        <x:v>Primary desktop production size passed.</x:v>
      </x:c>
    </x:row>
    <x:row r="7" ht="24" hidden="0" customHeight="1">
      <x:c r="A7" s="113" t="str">
        <x:v>QA-002</x:v>
      </x:c>
      <x:c r="B7" s="113" t="str">
        <x:v>Desktop</x:v>
      </x:c>
      <x:c r="C7" s="113" t="str">
        <x:v>Wide desktop</x:v>
      </x:c>
      <x:c r="D7" s="113" t="str">
        <x:v>1920 × 1080</x:v>
      </x:c>
      <x:c r="E7" s="113" t="str">
        <x:v>Browserbase / Stagehand</x:v>
      </x:c>
      <x:c r="F7" s="113" t="str">
        <x:v>Yes</x:v>
      </x:c>
      <x:c r="G7" s="113" t="str">
        <x:v>T-010</x:v>
      </x:c>
      <x:c r="H7" s="113" t="str">
        <x:v>Blocked</x:v>
      </x:c>
      <x:c r="I7" s="163"/>
      <x:c r="J7" s="113" t="str">
        <x:v>Guardian dry-run only</x:v>
      </x:c>
      <x:c r="K7" s="113" t="str">
        <x:v>Live session requires Browserbase secrets and QA owner context.</x:v>
      </x:c>
    </x:row>
    <x:row r="8" ht="24" hidden="0" customHeight="1">
      <x:c r="A8" s="113" t="str">
        <x:v>QA-003</x:v>
      </x:c>
      <x:c r="B8" s="113" t="str">
        <x:v>Laptop</x:v>
      </x:c>
      <x:c r="C8" s="113" t="str">
        <x:v>Standard laptop</x:v>
      </x:c>
      <x:c r="D8" s="113" t="str">
        <x:v>1280 × 800</x:v>
      </x:c>
      <x:c r="E8" s="113" t="str">
        <x:v>Chrome / Playwright + Browser</x:v>
      </x:c>
      <x:c r="F8" s="113" t="str">
        <x:v>Yes</x:v>
      </x:c>
      <x:c r="G8" s="113" t="str">
        <x:v>T-007</x:v>
      </x:c>
      <x:c r="H8" s="113" t="str">
        <x:v>Passed</x:v>
      </x:c>
      <x:c r="I8" s="163" t="n">
        <x:v>46215.27099571759</x:v>
      </x:c>
      <x:c r="J8" s="113" t="str">
        <x:v>Production viewport test; signup visual pass</x:v>
      </x:c>
      <x:c r="K8" s="113" t="str">
        <x:v>No page overflow or clipped controls.</x:v>
      </x:c>
    </x:row>
    <x:row r="9" ht="24" hidden="0" customHeight="1">
      <x:c r="A9" s="113" t="str">
        <x:v>QA-004</x:v>
      </x:c>
      <x:c r="B9" s="113" t="str">
        <x:v>Constrained desktop</x:v>
      </x:c>
      <x:c r="C9" s="113" t="str">
        <x:v>Tablet landscape breakpoint</x:v>
      </x:c>
      <x:c r="D9" s="113" t="str">
        <x:v>1024 × 768</x:v>
      </x:c>
      <x:c r="E9" s="113" t="str">
        <x:v>Chrome / Playwright + Browser</x:v>
      </x:c>
      <x:c r="F9" s="113" t="str">
        <x:v>Yes</x:v>
      </x:c>
      <x:c r="G9" s="113" t="str">
        <x:v>T-007</x:v>
      </x:c>
      <x:c r="H9" s="113" t="str">
        <x:v>Passed</x:v>
      </x:c>
      <x:c r="I9" s="163" t="n">
        <x:v>46215.27099571759</x:v>
      </x:c>
      <x:c r="J9" s="113" t="str">
        <x:v>Production viewport test; login visual pass</x:v>
      </x:c>
      <x:c r="K9" s="113" t="str">
        <x:v>Hydration readiness race measured and handled.</x:v>
      </x:c>
    </x:row>
    <x:row r="10" ht="24" hidden="0" customHeight="1">
      <x:c r="A10" s="113" t="str">
        <x:v>QA-005</x:v>
      </x:c>
      <x:c r="B10" s="113" t="str">
        <x:v>Tablet</x:v>
      </x:c>
      <x:c r="C10" s="113" t="str">
        <x:v>Tablet portrait</x:v>
      </x:c>
      <x:c r="D10" s="113" t="str">
        <x:v>768 × 1024</x:v>
      </x:c>
      <x:c r="E10" s="113" t="str">
        <x:v>Browser or Simulator</x:v>
      </x:c>
      <x:c r="F10" s="113" t="str">
        <x:v>No</x:v>
      </x:c>
      <x:c r="G10" s="113"/>
      <x:c r="H10" s="113" t="str">
        <x:v>Not Needed</x:v>
      </x:c>
      <x:c r="I10" s="163"/>
      <x:c r="J10" s="113"/>
      <x:c r="K10" s="113" t="str">
        <x:v>Desktop-first scope; keep for future mobile/tablet expansion.</x:v>
      </x:c>
    </x:row>
    <x:row r="11" ht="24" hidden="0" customHeight="1">
      <x:c r="A11" s="113" t="str">
        <x:v>QA-006</x:v>
      </x:c>
      <x:c r="B11" s="113" t="str">
        <x:v>Mobile</x:v>
      </x:c>
      <x:c r="C11" s="113" t="str">
        <x:v>Modern mobile</x:v>
      </x:c>
      <x:c r="D11" s="113" t="str">
        <x:v>390 × 844</x:v>
      </x:c>
      <x:c r="E11" s="113" t="str">
        <x:v>Browser or Simulator</x:v>
      </x:c>
      <x:c r="F11" s="113" t="str">
        <x:v>No</x:v>
      </x:c>
      <x:c r="G11" s="113"/>
      <x:c r="H11" s="113" t="str">
        <x:v>Not Needed</x:v>
      </x:c>
      <x:c r="I11" s="163"/>
      <x:c r="J11" s="113"/>
      <x:c r="K11" s="113" t="str">
        <x:v>Not part of this desktop-first Guardian phase.</x:v>
      </x:c>
    </x:row>
    <x:row r="12" ht="24" hidden="0" customHeight="1">
      <x:c r="A12" s="113" t="str">
        <x:v>QA-007</x:v>
      </x:c>
      <x:c r="B12" s="113" t="str">
        <x:v>Mobile</x:v>
      </x:c>
      <x:c r="C12" s="113" t="str">
        <x:v>Small mobile</x:v>
      </x:c>
      <x:c r="D12" s="113" t="str">
        <x:v>360 × 800</x:v>
      </x:c>
      <x:c r="E12" s="113" t="str">
        <x:v>Browser or Simulator</x:v>
      </x:c>
      <x:c r="F12" s="113" t="str">
        <x:v>No</x:v>
      </x:c>
      <x:c r="G12" s="113"/>
      <x:c r="H12" s="113" t="str">
        <x:v>Not Needed</x:v>
      </x:c>
      <x:c r="I12" s="163"/>
      <x:c r="J12" s="113"/>
      <x:c r="K12" s="113" t="str">
        <x:v>Not part of this desktop-first Guardian phase.</x:v>
      </x:c>
    </x:row>
    <x:row r="13" ht="26.399999618530273" hidden="0" customHeight="1">
      <x:c r="A13" s="166" t="str">
        <x:v>QA-008</x:v>
      </x:c>
      <x:c r="B13" s="166" t="str">
        <x:v>Automation</x:v>
      </x:c>
      <x:c r="C13" s="166" t="str">
        <x:v>Guardian policy + selector + verdict</x:v>
      </x:c>
      <x:c r="D13" s="166" t="str">
        <x:v>N/A</x:v>
      </x:c>
      <x:c r="E13" s="166" t="str">
        <x:v>Node test</x:v>
      </x:c>
      <x:c r="F13" s="166" t="str">
        <x:v>Yes</x:v>
      </x:c>
      <x:c r="G13" s="166" t="str">
        <x:v>T-006</x:v>
      </x:c>
      <x:c r="H13" s="166" t="str">
        <x:v>Passed</x:v>
      </x:c>
      <x:c r="I13" s="167" t="n">
        <x:v>46215.27099571759</x:v>
      </x:c>
      <x:c r="J13" s="166" t="str">
        <x:v>17/17 tests</x:v>
      </x:c>
      <x:c r="K13" s="166" t="str">
        <x:v>Registry, route coverage, safety, risk mapping, and evidence policy passed.</x:v>
      </x:c>
    </x:row>
    <x:row r="14" ht="26.399999618530273" hidden="0" customHeight="1">
      <x:c r="A14" s="166" t="str">
        <x:v>QA-009</x:v>
      </x:c>
      <x:c r="B14" s="166" t="str">
        <x:v>Automation</x:v>
      </x:c>
      <x:c r="C14" s="166" t="str">
        <x:v>Incident classifier + builder</x:v>
      </x:c>
      <x:c r="D14" s="166" t="str">
        <x:v>N/A</x:v>
      </x:c>
      <x:c r="E14" s="166" t="str">
        <x:v>Node test</x:v>
      </x:c>
      <x:c r="F14" s="166" t="str">
        <x:v>Yes</x:v>
      </x:c>
      <x:c r="G14" s="166" t="str">
        <x:v>T-004</x:v>
      </x:c>
      <x:c r="H14" s="166" t="str">
        <x:v>Passed</x:v>
      </x:c>
      <x:c r="I14" s="167" t="n">
        <x:v>46215.27099571759</x:v>
      </x:c>
      <x:c r="J14" s="166" t="str">
        <x:v>12/12 tests</x:v>
      </x:c>
      <x:c r="K14" s="166" t="str">
        <x:v>Includes exact artifact-quota false-red simulation.</x:v>
      </x:c>
    </x:row>
    <x:row r="15" ht="26.399999618530273" hidden="0" customHeight="1">
      <x:c r="A15" s="166" t="str">
        <x:v>QA-010</x:v>
      </x:c>
      <x:c r="B15" s="166" t="str">
        <x:v>Production</x:v>
      </x:c>
      <x:c r="C15" s="166" t="str">
        <x:v>Desktop critical integration</x:v>
      </x:c>
      <x:c r="D15" s="166" t="str">
        <x:v>Multi-viewport</x:v>
      </x:c>
      <x:c r="E15" s="166" t="str">
        <x:v>Playwright Chromium</x:v>
      </x:c>
      <x:c r="F15" s="166" t="str">
        <x:v>Yes</x:v>
      </x:c>
      <x:c r="G15" s="166" t="str">
        <x:v>T-007</x:v>
      </x:c>
      <x:c r="H15" s="166" t="str">
        <x:v>Passed</x:v>
      </x:c>
      <x:c r="I15" s="167" t="n">
        <x:v>46215.27099571759</x:v>
      </x:c>
      <x:c r="J15" s="166" t="str">
        <x:v>8/8 scenarios</x:v>
      </x:c>
      <x:c r="K15" s="166" t="str">
        <x:v>Full production suite passed in 1.9 minutes.</x:v>
      </x:c>
    </x:row>
    <x:row r="16" ht="15" hidden="0" customHeight="1">
      <x:c r="A16" s="166" t="str">
        <x:v>QA-011</x:v>
      </x:c>
      <x:c r="B16" s="166" t="str">
        <x:v>Regression</x:v>
      </x:c>
      <x:c r="C16" s="166" t="str">
        <x:v>Complete unit suite</x:v>
      </x:c>
      <x:c r="D16" s="166" t="str">
        <x:v>N/A</x:v>
      </x:c>
      <x:c r="E16" s="166" t="str">
        <x:v>Vitest</x:v>
      </x:c>
      <x:c r="F16" s="166" t="str">
        <x:v>Yes</x:v>
      </x:c>
      <x:c r="G16" s="166" t="str">
        <x:v>T-009</x:v>
      </x:c>
      <x:c r="H16" s="166" t="str">
        <x:v>Passed</x:v>
      </x:c>
      <x:c r="I16" s="167" t="n">
        <x:v>46215.27099571759</x:v>
      </x:c>
      <x:c r="J16" s="166" t="str">
        <x:v>742/742 tests</x:v>
      </x:c>
      <x:c r="K16" s="166" t="str">
        <x:v>66 files passed.</x:v>
      </x:c>
    </x:row>
    <x:row r="17" ht="15" hidden="0" customHeight="1">
      <x:c r="A17" s="166" t="str">
        <x:v>QA-012</x:v>
      </x:c>
      <x:c r="B17" s="166" t="str">
        <x:v>Build</x:v>
      </x:c>
      <x:c r="C17" s="166" t="str">
        <x:v>TypeScript no-emit</x:v>
      </x:c>
      <x:c r="D17" s="166" t="str">
        <x:v>N/A</x:v>
      </x:c>
      <x:c r="E17" s="166" t="str">
        <x:v>tsc</x:v>
      </x:c>
      <x:c r="F17" s="166" t="str">
        <x:v>Yes</x:v>
      </x:c>
      <x:c r="G17" s="166" t="str">
        <x:v>T-009</x:v>
      </x:c>
      <x:c r="H17" s="166" t="str">
        <x:v>Passed</x:v>
      </x:c>
      <x:c r="I17" s="167" t="n">
        <x:v>46215.27099571759</x:v>
      </x:c>
      <x:c r="J17" s="166" t="str">
        <x:v>Exit code 0</x:v>
      </x:c>
      <x:c r="K17" s="166" t="str">
        <x:v>No type errors.</x:v>
      </x:c>
    </x:row>
    <x:row r="18" ht="26.399999618530273" hidden="0" customHeight="1">
      <x:c r="A18" s="166" t="str">
        <x:v>QA-013</x:v>
      </x:c>
      <x:c r="B18" s="166" t="str">
        <x:v>Build</x:v>
      </x:c>
      <x:c r="C18" s="166" t="str">
        <x:v>Production bundle</x:v>
      </x:c>
      <x:c r="D18" s="166" t="str">
        <x:v>N/A</x:v>
      </x:c>
      <x:c r="E18" s="166" t="str">
        <x:v>Vite</x:v>
      </x:c>
      <x:c r="F18" s="166" t="str">
        <x:v>Yes</x:v>
      </x:c>
      <x:c r="G18" s="166" t="str">
        <x:v>T-009</x:v>
      </x:c>
      <x:c r="H18" s="166" t="str">
        <x:v>Passed</x:v>
      </x:c>
      <x:c r="I18" s="167" t="n">
        <x:v>46215.27099571759</x:v>
      </x:c>
      <x:c r="J18" s="166" t="str">
        <x:v>5,698 modules transformed</x:v>
      </x:c>
      <x:c r="K18" s="166" t="str">
        <x:v>Build passed with recorded bundle-size warnings.</x:v>
      </x:c>
    </x:row>
    <x:row r="19" ht="26.399999618530273" hidden="0" customHeight="1">
      <x:c r="A19" s="166" t="str">
        <x:v>QA-014</x:v>
      </x:c>
      <x:c r="B19" s="166" t="str">
        <x:v>Automation</x:v>
      </x:c>
      <x:c r="C19" s="166" t="str">
        <x:v>GitHub workflow syntax</x:v>
      </x:c>
      <x:c r="D19" s="166" t="str">
        <x:v>N/A</x:v>
      </x:c>
      <x:c r="E19" s="166" t="str">
        <x:v>Ruby YAML parser</x:v>
      </x:c>
      <x:c r="F19" s="166" t="str">
        <x:v>Yes</x:v>
      </x:c>
      <x:c r="G19" s="166" t="str">
        <x:v>T-009</x:v>
      </x:c>
      <x:c r="H19" s="166" t="str">
        <x:v>Passed</x:v>
      </x:c>
      <x:c r="I19" s="167" t="n">
        <x:v>46215.27099571759</x:v>
      </x:c>
      <x:c r="J19" s="166" t="str">
        <x:v>10 workflow files parsed</x:v>
      </x:c>
      <x:c r="K19" s="166" t="str">
        <x:v>New scheduled and release workflows included.</x:v>
      </x:c>
    </x:row>
    <x:row r="20" ht="26.399999618530273" hidden="0" customHeight="1">
      <x:c r="A20" s="166" t="str">
        <x:v>QA-015</x:v>
      </x:c>
      <x:c r="B20" s="166" t="str">
        <x:v>Quality</x:v>
      </x:c>
      <x:c r="C20" s="166" t="str">
        <x:v>Changed QA files lint</x:v>
      </x:c>
      <x:c r="D20" s="166" t="str">
        <x:v>N/A</x:v>
      </x:c>
      <x:c r="E20" s="166" t="str">
        <x:v>ESLint</x:v>
      </x:c>
      <x:c r="F20" s="166" t="str">
        <x:v>Yes</x:v>
      </x:c>
      <x:c r="G20" s="166" t="str">
        <x:v>T-009</x:v>
      </x:c>
      <x:c r="H20" s="166" t="str">
        <x:v>Passed</x:v>
      </x:c>
      <x:c r="I20" s="167" t="n">
        <x:v>46215.27099571759</x:v>
      </x:c>
      <x:c r="J20" s="166" t="str">
        <x:v>Focused lint exit 0</x:v>
      </x:c>
      <x:c r="K20" s="166" t="str">
        <x:v>All new and modified QA JavaScript files are clean.</x:v>
      </x:c>
    </x:row>
    <x:row r="21" ht="26.399999618530273" hidden="0" customHeight="1">
      <x:c r="A21" s="166" t="str">
        <x:v>QA-016</x:v>
      </x:c>
      <x:c r="B21" s="166" t="str">
        <x:v>Quality Debt</x:v>
      </x:c>
      <x:c r="C21" s="166" t="str">
        <x:v>Repository-wide lint baseline</x:v>
      </x:c>
      <x:c r="D21" s="166" t="str">
        <x:v>N/A</x:v>
      </x:c>
      <x:c r="E21" s="166" t="str">
        <x:v>ESLint</x:v>
      </x:c>
      <x:c r="F21" s="166" t="str">
        <x:v>No</x:v>
      </x:c>
      <x:c r="G21" s="166" t="str">
        <x:v>T-012</x:v>
      </x:c>
      <x:c r="H21" s="166" t="str">
        <x:v>Failed</x:v>
      </x:c>
      <x:c r="I21" s="167" t="n">
        <x:v>46215.27099571759</x:v>
      </x:c>
      <x:c r="J21" s="166" t="str">
        <x:v>613 errors; 49 warnings</x:v>
      </x:c>
      <x:c r="K21" s="166" t="str">
        <x:v>Pre-existing origin/main debt; does not originate in Guardian files.</x:v>
      </x:c>
    </x:row>
    <x:row r="22" ht="26.399999618530273" hidden="0" customHeight="1">
      <x:c r="A22" s="166" t="str">
        <x:v>QA-017</x:v>
      </x:c>
      <x:c r="B22" s="166" t="str">
        <x:v>Runtime</x:v>
      </x:c>
      <x:c r="C22" s="166" t="str">
        <x:v>Stagehand + Browserbase import smoke</x:v>
      </x:c>
      <x:c r="D22" s="166" t="str">
        <x:v>Node 22</x:v>
      </x:c>
      <x:c r="E22" s="166" t="str">
        <x:v>SDK import</x:v>
      </x:c>
      <x:c r="F22" s="166" t="str">
        <x:v>Yes</x:v>
      </x:c>
      <x:c r="G22" s="166" t="str">
        <x:v>T-003</x:v>
      </x:c>
      <x:c r="H22" s="166" t="str">
        <x:v>Passed</x:v>
      </x:c>
      <x:c r="I22" s="167" t="n">
        <x:v>46215.27099571759</x:v>
      </x:c>
      <x:c r="J22" s="166" t="str">
        <x:v>Both packages loaded</x:v>
      </x:c>
      <x:c r="K22" s="166" t="str">
        <x:v>Installed runtime is resolvable.</x:v>
      </x:c>
    </x:row>
    <x:row r="23" ht="39.599998474121094" hidden="0" customHeight="1">
      <x:c r="A23" s="166" t="str">
        <x:v>QA-018</x:v>
      </x:c>
      <x:c r="B23" s="166" t="str">
        <x:v>CI</x:v>
      </x:c>
      <x:c r="C23" s="166" t="str">
        <x:v>Pull-request release gate</x:v>
      </x:c>
      <x:c r="D23" s="166" t="str">
        <x:v>GitHub runner</x:v>
      </x:c>
      <x:c r="E23" s="166" t="str">
        <x:v>GitHub Actions</x:v>
      </x:c>
      <x:c r="F23" s="166" t="str">
        <x:v>Yes</x:v>
      </x:c>
      <x:c r="G23" s="166" t="str">
        <x:v>T-009</x:v>
      </x:c>
      <x:c r="H23" s="166" t="str">
        <x:v>Passed</x:v>
      </x:c>
      <x:c r="I23" s="167" t="n">
        <x:v>46215.27523634259</x:v>
      </x:c>
      <x:c r="J23" s="166" t="str">
        <x:v>https://github.com/gicheru214/pestflow-checkout-rebuild/actions/runs/29182844822</x:v>
      </x:c>
      <x:c r="K23" s="166" t="str">
        <x:v>Risk selection, Guardian/incident tests, and exact candidate build passed; artifact quota remained non-blocking.</x:v>
      </x:c>
    </x:row>
    <x:row r="24" ht="39.599998474121094" hidden="0" customHeight="1">
      <x:c r="A24" s="166" t="str">
        <x:v>QA-019</x:v>
      </x:c>
      <x:c r="B24" s="166" t="str">
        <x:v>Staging</x:v>
      </x:c>
      <x:c r="C24" s="166" t="str">
        <x:v>Delegated 48-feature catalog</x:v>
      </x:c>
      <x:c r="D24" s="166" t="str">
        <x:v>193 behaviors</x:v>
      </x:c>
      <x:c r="E24" s="166" t="str">
        <x:v>Playwright Chromium</x:v>
      </x:c>
      <x:c r="F24" s="166" t="str">
        <x:v>Yes</x:v>
      </x:c>
      <x:c r="G24" s="166" t="str">
        <x:v>T-008</x:v>
      </x:c>
      <x:c r="H24" s="166" t="str">
        <x:v>Passed</x:v>
      </x:c>
      <x:c r="I24" s="167" t="n">
        <x:v>46215.28418983796</x:v>
      </x:c>
      <x:c r="J24" s="166" t="str">
        <x:v>192-pass sweep + repaired checkpoint pass</x:v>
      </x:c>
      <x:c r="K24" s="166" t="str">
        <x:v>All 193 behaviors passed; stale hard-coded Tools count replaced with stable capability contract.</x:v>
      </x:c>
    </x:row>
    <x:row r="25" ht="39.599998474121094" hidden="0" customHeight="1">
      <x:c r="A25" s="166" t="str">
        <x:v>QA-020</x:v>
      </x:c>
      <x:c r="B25" s="166" t="str">
        <x:v>CI</x:v>
      </x:c>
      <x:c r="C25" s="166" t="str">
        <x:v>Updated pull-request release gate</x:v>
      </x:c>
      <x:c r="D25" s="166" t="str">
        <x:v>GitHub runner</x:v>
      </x:c>
      <x:c r="E25" s="166" t="str">
        <x:v>GitHub Actions</x:v>
      </x:c>
      <x:c r="F25" s="166" t="str">
        <x:v>Yes</x:v>
      </x:c>
      <x:c r="G25" s="166" t="str">
        <x:v>T-009</x:v>
      </x:c>
      <x:c r="H25" s="166" t="str">
        <x:v>Passed</x:v>
      </x:c>
      <x:c r="I25" s="167" t="n">
        <x:v>46215.28418983796</x:v>
      </x:c>
      <x:c r="J25" s="166" t="str">
        <x:v>https://github.com/gicheru214/pestflow-checkout-rebuild/actions/runs/29183173099</x:v>
      </x:c>
      <x:c r="K25" s="166" t="str">
        <x:v>Change-map enumeration, Guardian/incident tests, and candidate build passed.</x:v>
      </x:c>
    </x:row>
    <x:row r="26" ht="48" customHeight="1">
      <x:c r="A26" s="170" t="str">
        <x:v>QA-021</x:v>
      </x:c>
      <x:c r="B26" s="170" t="str">
        <x:v>Automation</x:v>
      </x:c>
      <x:c r="C26" s="170" t="str">
        <x:v>Deployment identity policy</x:v>
      </x:c>
      <x:c r="D26" s="170" t="str">
        <x:v>N/A</x:v>
      </x:c>
      <x:c r="E26" s="170" t="str">
        <x:v>Node test</x:v>
      </x:c>
      <x:c r="F26" s="173" t="str">
        <x:v>Yes</x:v>
      </x:c>
      <x:c r="G26" s="170" t="str">
        <x:v>T-008</x:v>
      </x:c>
      <x:c r="H26" s="170" t="str">
        <x:v>Passed</x:v>
      </x:c>
      <x:c r="I26" s="171" t="n">
        <x:v>46215</x:v>
      </x:c>
      <x:c r="J26" s="170" t="str">
        <x:v>24/24 Guardian policy tests</x:v>
      </x:c>
      <x:c r="K26" s="170" t="str">
        <x:v>Full/abbreviated SHA, stale rollout, success, and timeout are covered.</x:v>
      </x:c>
    </x:row>
    <x:row r="27" ht="48" customHeight="1">
      <x:c r="A27" s="170" t="str">
        <x:v>QA-022</x:v>
      </x:c>
      <x:c r="B27" s="170" t="str">
        <x:v>Automation</x:v>
      </x:c>
      <x:c r="C27" s="170" t="str">
        <x:v>Guardian full-matrix dry-run</x:v>
      </x:c>
      <x:c r="D27" s="170" t="str">
        <x:v>4 desktop sizes</x:v>
      </x:c>
      <x:c r="E27" s="170" t="str">
        <x:v>Stagehand registry</x:v>
      </x:c>
      <x:c r="F27" s="173" t="str">
        <x:v>Yes</x:v>
      </x:c>
      <x:c r="G27" s="170" t="str">
        <x:v>T-003</x:v>
      </x:c>
      <x:c r="H27" s="170" t="str">
        <x:v>Passed</x:v>
      </x:c>
      <x:c r="I27" s="171" t="n">
        <x:v>46215</x:v>
      </x:c>
      <x:c r="J27" s="170" t="str">
        <x:v>12/12 matrix entries validated</x:v>
      </x:c>
      <x:c r="K27" s="170" t="str">
        <x:v>1920, 1440, 1280, and 1024 selected without Browserbase spend.</x:v>
      </x:c>
    </x:row>
    <x:row r="28" ht="48" customHeight="1">
      <x:c r="A28" s="170" t="str">
        <x:v>QA-023</x:v>
      </x:c>
      <x:c r="B28" s="170" t="str">
        <x:v>Quality</x:v>
      </x:c>
      <x:c r="C28" s="170" t="str">
        <x:v>TypeScript and focused lint</x:v>
      </x:c>
      <x:c r="D28" s="170" t="str">
        <x:v>N/A</x:v>
      </x:c>
      <x:c r="E28" s="170" t="str">
        <x:v>tsc + ESLint</x:v>
      </x:c>
      <x:c r="F28" s="173" t="str">
        <x:v>Yes</x:v>
      </x:c>
      <x:c r="G28" s="170" t="str">
        <x:v>T-009</x:v>
      </x:c>
      <x:c r="H28" s="170" t="str">
        <x:v>Passed</x:v>
      </x:c>
      <x:c r="I28" s="171" t="n">
        <x:v>46215</x:v>
      </x:c>
      <x:c r="J28" s="170" t="str">
        <x:v>Both commands exited 0</x:v>
      </x:c>
      <x:c r="K28" s="170" t="str">
        <x:v>All deployment-identity and Guardian files are type- and lint-clean.</x:v>
      </x:c>
    </x:row>
    <x:row r="29" ht="48" customHeight="1">
      <x:c r="A29" s="170" t="str">
        <x:v>QA-024</x:v>
      </x:c>
      <x:c r="B29" s="170" t="str">
        <x:v>CI</x:v>
      </x:c>
      <x:c r="C29" s="170" t="str">
        <x:v>Final documented PR release gate</x:v>
      </x:c>
      <x:c r="D29" s="170" t="str">
        <x:v>GitHub runner</x:v>
      </x:c>
      <x:c r="E29" s="170" t="str">
        <x:v>GitHub Actions</x:v>
      </x:c>
      <x:c r="F29" s="170" t="str">
        <x:v>Yes</x:v>
      </x:c>
      <x:c r="G29" s="170" t="str">
        <x:v>T-009</x:v>
      </x:c>
      <x:c r="H29" s="170" t="str">
        <x:v>Passed</x:v>
      </x:c>
      <x:c r="I29" s="171" t="n">
        <x:v>46215</x:v>
      </x:c>
      <x:c r="J29" s="170" t="str">
        <x:v>Run 29201289406 passed in 1m12s</x:v>
      </x:c>
      <x:c r="K29" s="170" t="str">
        <x:v>Commit 011d187; PR #89 remains mergeable.</x:v>
      </x:c>
    </x:row>
    <x:row r="30" ht="48" customHeight="1">
      <x:c r="A30" s="170" t="str">
        <x:v>QA-025</x:v>
      </x:c>
      <x:c r="B30" s="170" t="str">
        <x:v>Automation</x:v>
      </x:c>
      <x:c r="C30" s="170" t="str">
        <x:v>Network and page-error evidence policy</x:v>
      </x:c>
      <x:c r="D30" s="170" t="str">
        <x:v>N/A</x:v>
      </x:c>
      <x:c r="E30" s="170" t="str">
        <x:v>Node tests + CI</x:v>
      </x:c>
      <x:c r="F30" s="170" t="str">
        <x:v>Yes</x:v>
      </x:c>
      <x:c r="G30" s="170" t="str">
        <x:v>T-003</x:v>
      </x:c>
      <x:c r="H30" s="170" t="str">
        <x:v>Passed</x:v>
      </x:c>
      <x:c r="I30" s="171" t="n">
        <x:v>46215.72222222222</x:v>
      </x:c>
      <x:c r="J30" s="170" t="str">
        <x:v>7 evidence tests; incident integration; run 29201788958</x:v>
      </x:c>
      <x:c r="K30" s="170" t="str">
        <x:v>First-party failures block; expected auth/analytics/abort noise does not.</x:v>
      </x:c>
    </x:row>
    <x:row r="31" ht="54" customHeight="1">
      <x:c r="A31" s="170" t="str">
        <x:v>QA-026</x:v>
      </x:c>
      <x:c r="B31" s="170" t="str">
        <x:v>Automation</x:v>
      </x:c>
      <x:c r="C31" s="170" t="str">
        <x:v>Outcome-oracle safety and verdict policy</x:v>
      </x:c>
      <x:c r="D31" s="170" t="str">
        <x:v>N/A</x:v>
      </x:c>
      <x:c r="E31" s="170" t="str">
        <x:v>Node tests</x:v>
      </x:c>
      <x:c r="F31" s="170" t="str">
        <x:v>Yes</x:v>
      </x:c>
      <x:c r="G31" s="170" t="str">
        <x:v>T-008</x:v>
      </x:c>
      <x:c r="H31" s="170" t="str">
        <x:v>Passed</x:v>
      </x:c>
      <x:c r="I31" s="171" t="n">
        <x:v>46215.73472222222</x:v>
      </x:c>
      <x:c r="J31" s="170" t="str">
        <x:v>40/40 Guardian policy/oracle tests</x:v>
      </x:c>
      <x:c r="K31" s="170" t="str">
        <x:v>GET-only, origin pinning, body non-retention, SHA matching, and complete-evidence gates passed.</x:v>
      </x:c>
    </x:row>
    <x:row r="32" ht="54" customHeight="1">
      <x:c r="A32" s="170" t="str">
        <x:v>QA-027</x:v>
      </x:c>
      <x:c r="B32" s="170" t="str">
        <x:v>Production</x:v>
      </x:c>
      <x:c r="C32" s="170" t="str">
        <x:v>Public frontend/API/DB/schema outcomes</x:v>
      </x:c>
      <x:c r="D32" s="170" t="str">
        <x:v>Production</x:v>
      </x:c>
      <x:c r="E32" s="170" t="str">
        <x:v>Read-only HTTP oracles</x:v>
      </x:c>
      <x:c r="F32" s="170" t="str">
        <x:v>Yes</x:v>
      </x:c>
      <x:c r="G32" s="170" t="str">
        <x:v>T-011</x:v>
      </x:c>
      <x:c r="H32" s="170" t="str">
        <x:v>Failed</x:v>
      </x:c>
      <x:c r="I32" s="171" t="n">
        <x:v>46215.73472222222</x:v>
      </x:c>
      <x:c r="J32" s="170" t="str">
        <x:v>2/4 passed</x:v>
      </x:c>
      <x:c r="K32" s="170" t="str">
        <x:v>DB and schema passed; frontend/API identity await deployment of deployment.commitSha contract.</x:v>
      </x:c>
    </x:row>
    <x:row r="33" ht="54" customHeight="1">
      <x:c r="A33" s="170" t="str">
        <x:v>QA-028</x:v>
      </x:c>
      <x:c r="B33" s="170" t="str">
        <x:v>CI</x:v>
      </x:c>
      <x:c r="C33" s="170" t="str">
        <x:v>Outcome-oracle PR release gate</x:v>
      </x:c>
      <x:c r="D33" s="170" t="str">
        <x:v>GitHub runner</x:v>
      </x:c>
      <x:c r="E33" s="170" t="str">
        <x:v>GitHub Actions</x:v>
      </x:c>
      <x:c r="F33" s="170" t="str">
        <x:v>Yes</x:v>
      </x:c>
      <x:c r="G33" s="170" t="str">
        <x:v>T-009</x:v>
      </x:c>
      <x:c r="H33" s="170" t="str">
        <x:v>Passed</x:v>
      </x:c>
      <x:c r="I33" s="171" t="n">
        <x:v>46215.73472222222</x:v>
      </x:c>
      <x:c r="J33" s="170" t="str">
        <x:v>Run 29202648617 passed in 1m11s</x:v>
      </x:c>
      <x:c r="K33" s="170" t="str">
        <x:v>Commit a110f26; PR #89 is mergeable and CI-green.</x:v>
      </x:c>
    </x:row>
    <x:row r="34" ht="54" customHeight="1">
      <x:c r="A34" s="170" t="str">
        <x:v>QA-029</x:v>
      </x:c>
      <x:c r="B34" s="170" t="str">
        <x:v>Staging</x:v>
      </x:c>
      <x:c r="C34" s="170" t="str">
        <x:v>Public frontend/API/DB/schema outcomes</x:v>
      </x:c>
      <x:c r="D34" s="170" t="str">
        <x:v>Staging</x:v>
      </x:c>
      <x:c r="E34" s="170" t="str">
        <x:v>Read-only HTTP oracles</x:v>
      </x:c>
      <x:c r="F34" s="170" t="str">
        <x:v>Yes</x:v>
      </x:c>
      <x:c r="G34" s="170" t="str">
        <x:v>T-011</x:v>
      </x:c>
      <x:c r="H34" s="170" t="str">
        <x:v>Failed</x:v>
      </x:c>
      <x:c r="I34" s="171" t="n">
        <x:v>46215.74166666667</x:v>
      </x:c>
      <x:c r="J34" s="170" t="str">
        <x:v>2/4 passed</x:v>
      </x:c>
      <x:c r="K34" s="170" t="str">
        <x:v>Staging DB/schema pass; frontend/API identity require candidate deployment of the new health contract.</x:v>
      </x:c>
    </x:row>
    <x:row r="35" ht="58" customHeight="1">
      <x:c r="A35" s="170" t="str">
        <x:v>QA-030</x:v>
      </x:c>
      <x:c r="B35" s="170" t="str">
        <x:v>Automation</x:v>
      </x:c>
      <x:c r="C35" s="170" t="str">
        <x:v>Authenticated owner smoke bundle and policy</x:v>
      </x:c>
      <x:c r="D35" s="170" t="str">
        <x:v>1366×900</x:v>
      </x:c>
      <x:c r="E35" s="170" t="str">
        <x:v>Checkly CLI + tsc + ESLint</x:v>
      </x:c>
      <x:c r="F35" s="170" t="str">
        <x:v>Yes</x:v>
      </x:c>
      <x:c r="G35" s="170" t="str">
        <x:v>T-003</x:v>
      </x:c>
      <x:c r="H35" s="170" t="str">
        <x:v>Passed</x:v>
      </x:c>
      <x:c r="I35" s="171" t="n">
        <x:v>46215.756944444445</x:v>
      </x:c>
      <x:c r="J35" s="170" t="str">
        <x:v>Check definition bundled; type/lint/YAML green</x:v>
      </x:c>
      <x:c r="K35" s="170" t="str">
        <x:v>Five read-only owner routes and network/overflow assertions compile for Checkly runtime 2025.04.</x:v>
      </x:c>
    </x:row>
    <x:row r="36" ht="58" customHeight="1">
      <x:c r="A36" s="170" t="str">
        <x:v>QA-031</x:v>
      </x:c>
      <x:c r="B36" s="170" t="str">
        <x:v>Production</x:v>
      </x:c>
      <x:c r="C36" s="170" t="str">
        <x:v>Authenticated owner desktop route smoke</x:v>
      </x:c>
      <x:c r="D36" s="170" t="str">
        <x:v>1366×900</x:v>
      </x:c>
      <x:c r="E36" s="170" t="str">
        <x:v>Checkly cloud Chromium</x:v>
      </x:c>
      <x:c r="F36" s="170" t="str">
        <x:v>Yes</x:v>
      </x:c>
      <x:c r="G36" s="170" t="str">
        <x:v>T-003</x:v>
      </x:c>
      <x:c r="H36" s="170" t="str">
        <x:v>Passed</x:v>
      </x:c>
      <x:c r="I36" s="171" t="n">
        <x:v>46215.756944444445</x:v>
      </x:c>
      <x:c r="J36" s="170" t="str">
        <x:v>Run 29203229913: 1/1 in 18s</x:v>
      </x:c>
      <x:c r="K36" s="170" t="str">
        <x:v>Dashboard, customers, jobs, invoices, and reports passed; no email sent.</x:v>
      </x:c>
    </x:row>
    <x:row r="37" ht="58" customHeight="1">
      <x:c r="A37" s="170" t="str">
        <x:v>QA-032</x:v>
      </x:c>
      <x:c r="B37" s="170" t="str">
        <x:v>Production</x:v>
      </x:c>
      <x:c r="C37" s="170" t="str">
        <x:v>Complete Checkly auth catalog</x:v>
      </x:c>
      <x:c r="D37" s="170" t="str">
        <x:v>Desktop + mobile</x:v>
      </x:c>
      <x:c r="E37" s="170" t="str">
        <x:v>Checkly cloud Chromium</x:v>
      </x:c>
      <x:c r="F37" s="170" t="str">
        <x:v>Yes</x:v>
      </x:c>
      <x:c r="G37" s="170" t="str">
        <x:v>T-013</x:v>
      </x:c>
      <x:c r="H37" s="170" t="str">
        <x:v>Failed</x:v>
      </x:c>
      <x:c r="I37" s="171" t="n">
        <x:v>46215.756944444445</x:v>
      </x:c>
      <x:c r="J37" s="170" t="str">
        <x:v>Run 29202904316: 6/8 passed</x:v>
      </x:c>
      <x:c r="K37" s="170" t="str">
        <x:v>Desktop locator drift was repaired; mobile field signup still times out at auth-role and remains open.</x:v>
      </x:c>
    </x:row>
    <x:row r="38" ht="58" customHeight="1">
      <x:c r="A38" s="170" t="str">
        <x:v>QA-033</x:v>
      </x:c>
      <x:c r="B38" s="170" t="str">
        <x:v>Production</x:v>
      </x:c>
      <x:c r="C38" s="170" t="str">
        <x:v>Isolated mobile field email signup</x:v>
      </x:c>
      <x:c r="D38" s="170" t="str">
        <x:v>390×844</x:v>
      </x:c>
      <x:c r="E38" s="170" t="str">
        <x:v>Checkly cloud Chromium</x:v>
      </x:c>
      <x:c r="F38" s="170" t="str">
        <x:v>Yes</x:v>
      </x:c>
      <x:c r="G38" s="170" t="str">
        <x:v>T-013</x:v>
      </x:c>
      <x:c r="H38" s="170" t="str">
        <x:v>Passed</x:v>
      </x:c>
      <x:c r="I38" s="171" t="n">
        <x:v>46215.76180555556</x:v>
      </x:c>
      <x:c r="J38" s="170" t="str">
        <x:v>Run 29203535900: 1/1 in 7s</x:v>
      </x:c>
      <x:c r="K38" s="170" t="str">
        <x:v>Fresh email signup reached active role selection; signup screen inactive; no email sent.</x:v>
      </x:c>
    </x:row>
    <x:row r="39" ht="54" customHeight="1">
      <x:c r="A39" s="170" t="str">
        <x:v>QA-034</x:v>
      </x:c>
      <x:c r="B39" s="170" t="str">
        <x:v>CI</x:v>
      </x:c>
      <x:c r="C39" s="170" t="str">
        <x:v>Final mobile-repair PR release gate</x:v>
      </x:c>
      <x:c r="D39" s="170" t="str">
        <x:v>GitHub runner</x:v>
      </x:c>
      <x:c r="E39" s="170" t="str">
        <x:v>GitHub Actions</x:v>
      </x:c>
      <x:c r="F39" s="170" t="str">
        <x:v>Yes</x:v>
      </x:c>
      <x:c r="G39" s="170" t="str">
        <x:v>T-009</x:v>
      </x:c>
      <x:c r="H39" s="170" t="str">
        <x:v>Passed</x:v>
      </x:c>
      <x:c r="I39" s="171" t="n">
        <x:v>46215.76180555556</x:v>
      </x:c>
      <x:c r="J39" s="170" t="str">
        <x:v>Run 29203534314 passed in 1m10s</x:v>
      </x:c>
      <x:c r="K39" s="170" t="str">
        <x:v>Commit 325541d; PR #89 is mergeable and clean.</x:v>
      </x:c>
    </x:row>
    <x:row r="40" ht="62" customHeight="1">
      <x:c r="A40" s="170" t="str">
        <x:v>QA-035</x:v>
      </x:c>
      <x:c r="B40" s="170" t="str">
        <x:v>Production</x:v>
      </x:c>
      <x:c r="C40" s="170" t="str">
        <x:v>Complete Checkly catalog before readiness instrumentation</x:v>
      </x:c>
      <x:c r="D40" s="170" t="str">
        <x:v>Desktop + mobile</x:v>
      </x:c>
      <x:c r="E40" s="170" t="str">
        <x:v>Checkly cloud Chromium</x:v>
      </x:c>
      <x:c r="F40" s="170" t="str">
        <x:v>Yes</x:v>
      </x:c>
      <x:c r="G40" s="170" t="str">
        <x:v>T-003</x:v>
      </x:c>
      <x:c r="H40" s="170" t="str">
        <x:v>Failed</x:v>
      </x:c>
      <x:c r="I40" s="171" t="n">
        <x:v>46215.77222222222</x:v>
      </x:c>
      <x:c r="J40" s="170" t="str">
        <x:v>Run 29203761187: 7/8 passed</x:v>
      </x:c>
      <x:c r="K40" s="170" t="str">
        <x:v>Reports missed its heading for 30s; isolated owner rerun 29203862136 passed in 17s.</x:v>
      </x:c>
    </x:row>
    <x:row r="41" ht="62" customHeight="1">
      <x:c r="A41" s="170" t="str">
        <x:v>QA-036</x:v>
      </x:c>
      <x:c r="B41" s="170" t="str">
        <x:v>Production</x:v>
      </x:c>
      <x:c r="C41" s="170" t="str">
        <x:v>Complete final-head Checkly auth catalog</x:v>
      </x:c>
      <x:c r="D41" s="170" t="str">
        <x:v>Desktop + mobile</x:v>
      </x:c>
      <x:c r="E41" s="170" t="str">
        <x:v>Checkly cloud Chromium</x:v>
      </x:c>
      <x:c r="F41" s="170" t="str">
        <x:v>Yes</x:v>
      </x:c>
      <x:c r="G41" s="170" t="str">
        <x:v>T-003</x:v>
      </x:c>
      <x:c r="H41" s="170" t="str">
        <x:v>Passed</x:v>
      </x:c>
      <x:c r="I41" s="171" t="n">
        <x:v>46215.77222222222</x:v>
      </x:c>
      <x:c r="J41" s="170" t="str">
        <x:v>Run 29204005998: 8/8 passed</x:v>
      </x:c>
      <x:c r="K41" s="170" t="str">
        <x:v>All eight checks passed on the first attempt; email was disabled and incident result was passed.</x:v>
      </x:c>
    </x:row>
    <x:row r="42" ht="62" customHeight="1">
      <x:c r="A42" s="170" t="str">
        <x:v>QA-037</x:v>
      </x:c>
      <x:c r="B42" s="170" t="str">
        <x:v>CI</x:v>
      </x:c>
      <x:c r="C42" s="170" t="str">
        <x:v>Readiness-diagnostics PR release gate</x:v>
      </x:c>
      <x:c r="D42" s="170" t="str">
        <x:v>GitHub runner</x:v>
      </x:c>
      <x:c r="E42" s="170" t="str">
        <x:v>GitHub Actions</x:v>
      </x:c>
      <x:c r="F42" s="170" t="str">
        <x:v>Yes</x:v>
      </x:c>
      <x:c r="G42" s="170" t="str">
        <x:v>T-009</x:v>
      </x:c>
      <x:c r="H42" s="170" t="str">
        <x:v>Passed</x:v>
      </x:c>
      <x:c r="I42" s="171" t="n">
        <x:v>46215.77222222222</x:v>
      </x:c>
      <x:c r="J42" s="170" t="str">
        <x:v>Run 29203992162 passed in 1m6s</x:v>
      </x:c>
      <x:c r="K42" s="170" t="str">
        <x:v>Commit 0db5838; PR #89 is mergeable and clean.</x:v>
      </x:c>
    </x:row>
    <x:row r="43" ht="64" customHeight="1">
      <x:c r="A43" s="170" t="str">
        <x:v>QA-038</x:v>
      </x:c>
      <x:c r="B43" s="170" t="str">
        <x:v>Regression</x:v>
      </x:c>
      <x:c r="C43" s="170" t="str">
        <x:v>Shared route loading and recovery states</x:v>
      </x:c>
      <x:c r="D43" s="170" t="str">
        <x:v>Desktop</x:v>
      </x:c>
      <x:c r="E43" s="170" t="str">
        <x:v>Vitest + Testing Library</x:v>
      </x:c>
      <x:c r="F43" s="170" t="str">
        <x:v>Yes</x:v>
      </x:c>
      <x:c r="G43" s="170" t="str">
        <x:v>T-014</x:v>
      </x:c>
      <x:c r="H43" s="170" t="str">
        <x:v>Passed</x:v>
      </x:c>
      <x:c r="I43" s="171" t="n">
        <x:v>46215.782638888886</x:v>
      </x:c>
      <x:c r="J43" s="170" t="str">
        <x:v>2/2 focused; 746/746 complete</x:v>
      </x:c>
      <x:c r="K43" s="170" t="str">
        <x:v>Immediate accessible loading and delayed reload recovery are covered; all 68 test files passed.</x:v>
      </x:c>
    </x:row>
    <x:row r="44" ht="64" customHeight="1">
      <x:c r="A44" s="170" t="str">
        <x:v>QA-039</x:v>
      </x:c>
      <x:c r="B44" s="170" t="str">
        <x:v>Build</x:v>
      </x:c>
      <x:c r="C44" s="170" t="str">
        <x:v>Route recovery production bundle</x:v>
      </x:c>
      <x:c r="D44" s="170" t="str">
        <x:v>Desktop</x:v>
      </x:c>
      <x:c r="E44" s="170" t="str">
        <x:v>Vite build</x:v>
      </x:c>
      <x:c r="F44" s="170" t="str">
        <x:v>Yes</x:v>
      </x:c>
      <x:c r="G44" s="170" t="str">
        <x:v>T-014</x:v>
      </x:c>
      <x:c r="H44" s="170" t="str">
        <x:v>Passed</x:v>
      </x:c>
      <x:c r="I44" s="171" t="n">
        <x:v>46215.782638888886</x:v>
      </x:c>
      <x:c r="J44" s="170" t="str">
        <x:v>5,698 modules; exit 0</x:v>
      </x:c>
      <x:c r="K44" s="170" t="str">
        <x:v>Reports chunk remained about 38.9 kB; existing large-chunk and dependency warnings are tracked separately.</x:v>
      </x:c>
    </x:row>
    <x:row r="45" ht="64" customHeight="1">
      <x:c r="A45" s="170" t="str">
        <x:v>QA-040</x:v>
      </x:c>
      <x:c r="B45" s="170" t="str">
        <x:v>Production</x:v>
      </x:c>
      <x:c r="C45" s="170" t="str">
        <x:v>Exact-head complete catalog and route timings</x:v>
      </x:c>
      <x:c r="D45" s="170" t="str">
        <x:v>Desktop + mobile</x:v>
      </x:c>
      <x:c r="E45" s="170" t="str">
        <x:v>Checkly cloud Chromium</x:v>
      </x:c>
      <x:c r="F45" s="170" t="str">
        <x:v>Yes</x:v>
      </x:c>
      <x:c r="G45" s="170" t="str">
        <x:v>T-014</x:v>
      </x:c>
      <x:c r="H45" s="170" t="str">
        <x:v>Passed</x:v>
      </x:c>
      <x:c r="I45" s="171" t="n">
        <x:v>46215.782638888886</x:v>
      </x:c>
      <x:c r="J45" s="170" t="str">
        <x:v>Run 29204474751: 8/8 passed</x:v>
      </x:c>
      <x:c r="K45" s="170" t="str">
        <x:v>Owner route timings were 1.457s, 2.493s, 1.477s, and 3.155s; no retry used.</x:v>
      </x:c>
    </x:row>
    <x:row r="46" ht="68" customHeight="1">
      <x:c r="A46" s="170" t="str">
        <x:v>QA-041</x:v>
      </x:c>
      <x:c r="B46" s="170" t="str">
        <x:v>CI</x:v>
      </x:c>
      <x:c r="C46" s="170" t="str">
        <x:v>Node 24-generation QA workflow actions</x:v>
      </x:c>
      <x:c r="D46" s="170" t="str">
        <x:v>GitHub runner</x:v>
      </x:c>
      <x:c r="E46" s="170" t="str">
        <x:v>GitHub Actions</x:v>
      </x:c>
      <x:c r="F46" s="170" t="str">
        <x:v>Yes</x:v>
      </x:c>
      <x:c r="G46" s="170" t="str">
        <x:v>T-009</x:v>
      </x:c>
      <x:c r="H46" s="170" t="str">
        <x:v>Passed</x:v>
      </x:c>
      <x:c r="I46" s="171" t="n">
        <x:v>46215.80902777778</x:v>
      </x:c>
      <x:c r="J46" s="170" t="str">
        <x:v>Run 29204724354 passed</x:v>
      </x:c>
      <x:c r="K46" s="170" t="str">
        <x:v>All ten workflows parsed; Node 20 warning removed; artifact quota remained nonblocking.</x:v>
      </x:c>
    </x:row>
    <x:row r="47" ht="68" customHeight="1">
      <x:c r="A47" s="170" t="str">
        <x:v>QA-042</x:v>
      </x:c>
      <x:c r="B47" s="170" t="str">
        <x:v>Production</x:v>
      </x:c>
      <x:c r="C47" s="170" t="str">
        <x:v>Reports accessibility under first-run onboarding</x:v>
      </x:c>
      <x:c r="D47" s="170" t="str">
        <x:v>1366×900</x:v>
      </x:c>
      <x:c r="E47" s="170" t="str">
        <x:v>Checkly cloud Chromium</x:v>
      </x:c>
      <x:c r="F47" s="170" t="str">
        <x:v>Yes</x:v>
      </x:c>
      <x:c r="G47" s="170" t="str">
        <x:v>T-014</x:v>
      </x:c>
      <x:c r="H47" s="170" t="str">
        <x:v>Failed</x:v>
      </x:c>
      <x:c r="I47" s="171" t="n">
        <x:v>46215.80902777778</x:v>
      </x:c>
      <x:c r="J47" s="170" t="str">
        <x:v>Run 29205191769 failed twice</x:v>
      </x:c>
      <x:c r="K47" s="170" t="str">
        <x:v>Page rendered quickly, but the chained setup-goals modal hid Reports from the accessibility tree; root cause fixed in 4f6df89.</x:v>
      </x:c>
    </x:row>
    <x:row r="48" ht="68" customHeight="1">
      <x:c r="A48" s="170" t="str">
        <x:v>QA-043</x:v>
      </x:c>
      <x:c r="B48" s="170" t="str">
        <x:v>Infrastructure</x:v>
      </x:c>
      <x:c r="C48" s="170" t="str">
        <x:v>Exact-head isolated owner cloud confirmation</x:v>
      </x:c>
      <x:c r="D48" s="170" t="str">
        <x:v>1366×900</x:v>
      </x:c>
      <x:c r="E48" s="170" t="str">
        <x:v>GitHub Actions + Checkly</x:v>
      </x:c>
      <x:c r="F48" s="170" t="str">
        <x:v>Yes</x:v>
      </x:c>
      <x:c r="G48" s="170" t="str">
        <x:v>T-011</x:v>
      </x:c>
      <x:c r="H48" s="170" t="str">
        <x:v>Blocked</x:v>
      </x:c>
      <x:c r="I48" s="171" t="n">
        <x:v>46215.80902777778</x:v>
      </x:c>
      <x:c r="J48" s="170" t="str">
        <x:v>Run 29205363968 started zero steps</x:v>
      </x:c>
      <x:c r="K48" s="170" t="str">
        <x:v>GitHub account payment/spending limit refused the runner; no product test executed.</x:v>
      </x:c>
    </x:row>
    <x:row r="49" ht="68" customHeight="1">
      <x:c r="A49" s="170" t="str">
        <x:v>QA-044</x:v>
      </x:c>
      <x:c r="B49" s="170" t="str">
        <x:v>Regression</x:v>
      </x:c>
      <x:c r="C49" s="170" t="str">
        <x:v>Post-dialog-fix unit and production build</x:v>
      </x:c>
      <x:c r="D49" s="170" t="str">
        <x:v>N/A</x:v>
      </x:c>
      <x:c r="E49" s="170" t="str">
        <x:v>Vitest + Vite</x:v>
      </x:c>
      <x:c r="F49" s="170" t="str">
        <x:v>Yes</x:v>
      </x:c>
      <x:c r="G49" s="170" t="str">
        <x:v>T-014</x:v>
      </x:c>
      <x:c r="H49" s="170" t="str">
        <x:v>Passed</x:v>
      </x:c>
      <x:c r="I49" s="171" t="n">
        <x:v>46215.80902777778</x:v>
      </x:c>
      <x:c r="J49" s="170" t="str">
        <x:v>746/746 tests; 5,698 modules</x:v>
      </x:c>
      <x:c r="K49" s="170" t="str">
        <x:v>All 68 test files and the production build passed after the Checkly synchronization fix.</x:v>
      </x:c>
    </x:row>
    <x:row r="50" ht="72" customHeight="1">
      <x:c r="A50" s="170" t="str">
        <x:v>QA-045</x:v>
      </x:c>
      <x:c r="B50" s="170" t="str">
        <x:v>Automation</x:v>
      </x:c>
      <x:c r="C50" s="170" t="str">
        <x:v>GitHub billing-refusal incident classification</x:v>
      </x:c>
      <x:c r="D50" s="170" t="str">
        <x:v>N/A</x:v>
      </x:c>
      <x:c r="E50" s="170" t="str">
        <x:v>Node tests</x:v>
      </x:c>
      <x:c r="F50" s="170" t="str">
        <x:v>Yes</x:v>
      </x:c>
      <x:c r="G50" s="170" t="str">
        <x:v>T-004</x:v>
      </x:c>
      <x:c r="H50" s="170" t="str">
        <x:v>Passed</x:v>
      </x:c>
      <x:c r="I50" s="171" t="n">
        <x:v>46215.82638888889</x:v>
      </x:c>
      <x:c r="J50" s="170" t="str">
        <x:v>16/16 incident tests</x:v>
      </x:c>
      <x:c r="K50" s="170" t="str">
        <x:v>Zero-step payment/spending refusals are infrastructure warnings and cannot trigger Codex repair.</x:v>
      </x:c>
    </x:row>
    <x:row r="51" ht="72" customHeight="1">
      <x:c r="A51" s="170" t="str">
        <x:v>QA-046</x:v>
      </x:c>
      <x:c r="B51" s="170" t="str">
        <x:v>Automation</x:v>
      </x:c>
      <x:c r="C51" s="170" t="str">
        <x:v>Static owner route parity and local-server policy</x:v>
      </x:c>
      <x:c r="D51" s="170" t="str">
        <x:v>26 owner paths</x:v>
      </x:c>
      <x:c r="E51" s="170" t="str">
        <x:v>Guardian policy tests</x:v>
      </x:c>
      <x:c r="F51" s="170" t="str">
        <x:v>Yes</x:v>
      </x:c>
      <x:c r="G51" s="170" t="str">
        <x:v>T-014</x:v>
      </x:c>
      <x:c r="H51" s="170" t="str">
        <x:v>Passed</x:v>
      </x:c>
      <x:c r="I51" s="171" t="n">
        <x:v>46215.82638888889</x:v>
      </x:c>
      <x:c r="J51" s="170" t="str">
        <x:v>42/42 Guardian policy tests</x:v>
      </x:c>
      <x:c r="K51" s="170" t="str">
        <x:v>All owner routes are in Checkly fallback; unknown local servers are rejected by default.</x:v>
      </x:c>
    </x:row>
    <x:row r="52" ht="72" customHeight="1">
      <x:c r="A52" s="170" t="str">
        <x:v>QA-047</x:v>
      </x:c>
      <x:c r="B52" s="170" t="str">
        <x:v>Accessibility</x:v>
      </x:c>
      <x:c r="C52" s="170" t="str">
        <x:v>Services heading and modal settlement</x:v>
      </x:c>
      <x:c r="D52" s="170" t="str">
        <x:v>3 desktop sizes</x:v>
      </x:c>
      <x:c r="E52" s="170" t="str">
        <x:v>In-app Browser</x:v>
      </x:c>
      <x:c r="F52" s="170" t="str">
        <x:v>Yes</x:v>
      </x:c>
      <x:c r="G52" s="170" t="str">
        <x:v>T-014</x:v>
      </x:c>
      <x:c r="H52" s="170" t="str">
        <x:v>Passed</x:v>
      </x:c>
      <x:c r="I52" s="171" t="n">
        <x:v>46215.82638888889</x:v>
      </x:c>
      <x:c r="J52" s="170" t="str">
        <x:v>1440, 1280, and 1024 passed</x:v>
      </x:c>
      <x:c r="K52" s="170" t="str">
        <x:v>One h1, zero dialogs, and zero horizontal overflow after the chained onboarding flow.</x:v>
      </x:c>
    </x:row>
    <x:row r="53" ht="72" customHeight="1">
      <x:c r="A53" s="170" t="str">
        <x:v>QA-048</x:v>
      </x:c>
      <x:c r="B53" s="170" t="str">
        <x:v>Production</x:v>
      </x:c>
      <x:c r="C53" s="170" t="str">
        <x:v>Deterministic desktop critical workflows</x:v>
      </x:c>
      <x:c r="D53" s="170" t="str">
        <x:v>3 desktop sizes</x:v>
      </x:c>
      <x:c r="E53" s="170" t="str">
        <x:v>Playwright Chromium</x:v>
      </x:c>
      <x:c r="F53" s="170" t="str">
        <x:v>Yes</x:v>
      </x:c>
      <x:c r="G53" s="170" t="str">
        <x:v>T-009</x:v>
      </x:c>
      <x:c r="H53" s="170" t="str">
        <x:v>Passed</x:v>
      </x:c>
      <x:c r="I53" s="171" t="n">
        <x:v>46215.82638888889</x:v>
      </x:c>
      <x:c r="J53" s="170" t="str">
        <x:v>8/8 passed in 2.2m</x:v>
      </x:c>
      <x:c r="K53" s="170" t="str">
        <x:v>Auth, onboarding, persistence, tenant isolation, roles, invoice state, scheduling, and responsive owner desk passed.</x:v>
      </x:c>
    </x:row>
    <x:row r="54" ht="72" customHeight="1">
      <x:c r="A54" s="170" t="str">
        <x:v>QA-049</x:v>
      </x:c>
      <x:c r="B54" s="170" t="str">
        <x:v>Regression</x:v>
      </x:c>
      <x:c r="C54" s="170" t="str">
        <x:v>Full unit, type, build, and Checkly bundle</x:v>
      </x:c>
      <x:c r="D54" s="170" t="str">
        <x:v>N/A</x:v>
      </x:c>
      <x:c r="E54" s="170" t="str">
        <x:v>Vitest + tsc + Vite + Checkly</x:v>
      </x:c>
      <x:c r="F54" s="170" t="str">
        <x:v>Yes</x:v>
      </x:c>
      <x:c r="G54" s="170" t="str">
        <x:v>T-009</x:v>
      </x:c>
      <x:c r="H54" s="170" t="str">
        <x:v>Passed</x:v>
      </x:c>
      <x:c r="I54" s="171" t="n">
        <x:v>46215.82638888889</x:v>
      </x:c>
      <x:c r="J54" s="170" t="str">
        <x:v>746/746; 5,698 modules</x:v>
      </x:c>
      <x:c r="K54" s="170" t="str">
        <x:v>All 68 unit files, TypeScript, production build, Checkly bundling, focused lint, and workflow parsing passed.</x:v>
      </x:c>
    </x:row>
    <x:row r="55" ht="72" customHeight="1">
      <x:c r="A55" s="170" t="str">
        <x:v>QA-050</x:v>
      </x:c>
      <x:c r="B55" s="170" t="str">
        <x:v>Infrastructure</x:v>
      </x:c>
      <x:c r="C55" s="170" t="str">
        <x:v>Delegated desktop suite against default localhost</x:v>
      </x:c>
      <x:c r="D55" s="170" t="str">
        <x:v>Desktop Chrome</x:v>
      </x:c>
      <x:c r="E55" s="170" t="str">
        <x:v>Playwright</x:v>
      </x:c>
      <x:c r="F55" s="170" t="str">
        <x:v>Yes</x:v>
      </x:c>
      <x:c r="G55" s="170" t="str">
        <x:v>T-009</x:v>
      </x:c>
      <x:c r="H55" s="170" t="str">
        <x:v>Failed</x:v>
      </x:c>
      <x:c r="I55" s="171" t="n">
        <x:v>46215.82638888889</x:v>
      </x:c>
      <x:c r="J55" s="170" t="str">
        <x:v>2 unexpected; 191 skipped</x:v>
      </x:c>
      <x:c r="K55" s="170" t="str">
        <x:v>Invalid environment: port 5173 was pestflow-growth-kit, not this branch. Run stopped and not treated as product evidence.</x:v>
      </x:c>
    </x:row>
    <x:row r="56" ht="72" customHeight="1">
      <x:c r="A56" s="170" t="str">
        <x:v>QA-051</x:v>
      </x:c>
      <x:c r="B56" s="170" t="str">
        <x:v>Regression</x:v>
      </x:c>
      <x:c r="C56" s="170" t="str">
        <x:v>Exact-branch delegated desktop feature catalog</x:v>
      </x:c>
      <x:c r="D56" s="170" t="str">
        <x:v>193 behaviors</x:v>
      </x:c>
      <x:c r="E56" s="170" t="str">
        <x:v>Playwright Chromium</x:v>
      </x:c>
      <x:c r="F56" s="170" t="str">
        <x:v>Yes</x:v>
      </x:c>
      <x:c r="G56" s="170" t="str">
        <x:v>T-009</x:v>
      </x:c>
      <x:c r="H56" s="170" t="str">
        <x:v>Passed</x:v>
      </x:c>
      <x:c r="I56" s="171" t="n">
        <x:v>46215.82638888889</x:v>
      </x:c>
      <x:c r="J56" s="170" t="str">
        <x:v>193/193 passed in 3.8m</x:v>
      </x:c>
      <x:c r="K56" s="170" t="str">
        <x:v>Ran on dedicated c680 branch server; delivery actions were mocked and no real email was sent.</x:v>
      </x:c>
    </x:row>
    <x:row r="57" ht="72" customHeight="1">
      <x:c r="A57" s="170" t="str">
        <x:v>QA-052</x:v>
      </x:c>
      <x:c r="B57" s="170" t="str">
        <x:v>Infrastructure</x:v>
      </x:c>
      <x:c r="C57" s="170" t="str">
        <x:v>Expanded exact-head Checkly owner proof</x:v>
      </x:c>
      <x:c r="D57" s="170" t="str">
        <x:v>1366×900</x:v>
      </x:c>
      <x:c r="E57" s="170" t="str">
        <x:v>GitHub Actions + Checkly</x:v>
      </x:c>
      <x:c r="F57" s="170" t="str">
        <x:v>Yes</x:v>
      </x:c>
      <x:c r="G57" s="170" t="str">
        <x:v>T-011</x:v>
      </x:c>
      <x:c r="H57" s="170" t="str">
        <x:v>Blocked</x:v>
      </x:c>
      <x:c r="I57" s="171" t="n">
        <x:v>46215.82638888889</x:v>
      </x:c>
      <x:c r="J57" s="170" t="str">
        <x:v>Run 29206513846 started zero steps</x:v>
      </x:c>
      <x:c r="K57" s="170" t="str">
        <x:v>GitHub runner capacity refused execution; the 26-route cloud result remains mandatory and unclaimed.</x:v>
      </x:c>
    </x:row>
    <x:row r="58" ht="76" customHeight="1">
      <x:c r="A58" s="170" t="str">
        <x:v>QA-053</x:v>
      </x:c>
      <x:c r="B58" s="170" t="str">
        <x:v>Safety</x:v>
      </x:c>
      <x:c r="C58" s="170" t="str">
        <x:v>QA identity, email, and deletion boundaries</x:v>
      </x:c>
      <x:c r="D58" s="170" t="str">
        <x:v>N/A</x:v>
      </x:c>
      <x:c r="E58" s="170" t="str">
        <x:v>Vitest + policy tests</x:v>
      </x:c>
      <x:c r="F58" s="170" t="str">
        <x:v>Yes</x:v>
      </x:c>
      <x:c r="G58" s="170" t="str">
        <x:v>T-009</x:v>
      </x:c>
      <x:c r="H58" s="170" t="str">
        <x:v>Passed</x:v>
      </x:c>
      <x:c r="I58" s="171" t="n">
        <x:v>46215.847916666666</x:v>
      </x:c>
      <x:c r="J58" s="170" t="str">
        <x:v>15 focused; 43/43 policy</x:v>
      </x:c>
      <x:c r="K58" s="170" t="str">
        <x:v>Lookalikes rejected; test email exits before SQL/provider; company cascade failure blocks auth deletion.</x:v>
      </x:c>
    </x:row>
    <x:row r="59" ht="76" customHeight="1">
      <x:c r="A59" s="170" t="str">
        <x:v>QA-054</x:v>
      </x:c>
      <x:c r="B59" s="170" t="str">
        <x:v>Production</x:v>
      </x:c>
      <x:c r="C59" s="170" t="str">
        <x:v>First deterministic fixture teardown proof</x:v>
      </x:c>
      <x:c r="D59" s="170" t="str">
        <x:v>3 desktop sizes</x:v>
      </x:c>
      <x:c r="E59" s="170" t="str">
        <x:v>Playwright Chromium</x:v>
      </x:c>
      <x:c r="F59" s="170" t="str">
        <x:v>Yes</x:v>
      </x:c>
      <x:c r="G59" s="170" t="str">
        <x:v>T-009</x:v>
      </x:c>
      <x:c r="H59" s="170" t="str">
        <x:v>Failed</x:v>
      </x:c>
      <x:c r="I59" s="171" t="n">
        <x:v>46215.847916666666</x:v>
      </x:c>
      <x:c r="J59" s="170" t="str">
        <x:v>7 workflow passes; cleanup incomplete</x:v>
      </x:c>
      <x:c r="K59" s="170" t="str">
        <x:v>Correct fail-closed result: one logged-out QA session and two rate-limited rejection checks required lifecycle repair.</x:v>
      </x:c>
    </x:row>
    <x:row r="60" ht="76" customHeight="1">
      <x:c r="A60" s="170" t="str">
        <x:v>QA-055</x:v>
      </x:c>
      <x:c r="B60" s="170" t="str">
        <x:v>Production</x:v>
      </x:c>
      <x:c r="C60" s="170" t="str">
        <x:v>Corrected deterministic workflow and teardown proof</x:v>
      </x:c>
      <x:c r="D60" s="170" t="str">
        <x:v>3 desktop sizes</x:v>
      </x:c>
      <x:c r="E60" s="170" t="str">
        <x:v>Playwright Chromium</x:v>
      </x:c>
      <x:c r="F60" s="170" t="str">
        <x:v>Yes</x:v>
      </x:c>
      <x:c r="G60" s="170" t="str">
        <x:v>T-009</x:v>
      </x:c>
      <x:c r="H60" s="170" t="str">
        <x:v>Passed</x:v>
      </x:c>
      <x:c r="I60" s="171" t="n">
        <x:v>46215.847916666666</x:v>
      </x:c>
      <x:c r="J60" s="170" t="str">
        <x:v>8/8 in 4.1m; cleanup 5/5</x:v>
      </x:c>
      <x:c r="K60" s="170" t="str">
        <x:v>Every created account deleted; every session null; every credential retry rejected.</x:v>
      </x:c>
    </x:row>
    <x:row r="61" ht="76" customHeight="1">
      <x:c r="A61" s="170" t="str">
        <x:v>QA-056</x:v>
      </x:c>
      <x:c r="B61" s="170" t="str">
        <x:v>Regression</x:v>
      </x:c>
      <x:c r="C61" s="170" t="str">
        <x:v>Full unit, policy, incident, type, lint, and build</x:v>
      </x:c>
      <x:c r="D61" s="170" t="str">
        <x:v>N/A</x:v>
      </x:c>
      <x:c r="E61" s="170" t="str">
        <x:v>Vitest + Node + tsc + Vite</x:v>
      </x:c>
      <x:c r="F61" s="170" t="str">
        <x:v>Yes</x:v>
      </x:c>
      <x:c r="G61" s="170" t="str">
        <x:v>T-009</x:v>
      </x:c>
      <x:c r="H61" s="170" t="str">
        <x:v>Passed</x:v>
      </x:c>
      <x:c r="I61" s="171" t="n">
        <x:v>46215.847916666666</x:v>
      </x:c>
      <x:c r="J61" s="170" t="str">
        <x:v>753 + 43 + 16; 5,698 modules</x:v>
      </x:c>
      <x:c r="K61" s="170" t="str">
        <x:v>All new lifecycle logic and the complete existing PestFlow suite passed.</x:v>
      </x:c>
    </x:row>
    <x:row r="62" ht="76" customHeight="1">
      <x:c r="A62" s="170" t="str">
        <x:v>QA-057</x:v>
      </x:c>
      <x:c r="B62" s="170" t="str">
        <x:v>Infrastructure</x:v>
      </x:c>
      <x:c r="C62" s="170" t="str">
        <x:v>Exact-head PR release gate</x:v>
      </x:c>
      <x:c r="D62" s="170" t="str">
        <x:v>GitHub runner</x:v>
      </x:c>
      <x:c r="E62" s="170" t="str">
        <x:v>GitHub Actions</x:v>
      </x:c>
      <x:c r="F62" s="170" t="str">
        <x:v>Yes</x:v>
      </x:c>
      <x:c r="G62" s="170" t="str">
        <x:v>T-011</x:v>
      </x:c>
      <x:c r="H62" s="170" t="str">
        <x:v>Blocked</x:v>
      </x:c>
      <x:c r="I62" s="171" t="n">
        <x:v>46215.847916666666</x:v>
      </x:c>
      <x:c r="J62" s="170" t="str">
        <x:v>Run 29207515135: zero steps</x:v>
      </x:c>
      <x:c r="K62" s="170" t="str">
        <x:v>GitHub payment/spending refusal; no product or QA command started.</x:v>
      </x:c>
    </x:row>
    <x:row r="63" ht="76" customHeight="1">
      <x:c r="A63" s="170" t="str">
        <x:v>QA-058</x:v>
      </x:c>
      <x:c r="B63" s="170" t="str">
        <x:v>Infrastructure</x:v>
      </x:c>
      <x:c r="C63" s="170" t="str">
        <x:v>Exact-head 26-route owner cloud proof</x:v>
      </x:c>
      <x:c r="D63" s="170" t="str">
        <x:v>1366×900</x:v>
      </x:c>
      <x:c r="E63" s="170" t="str">
        <x:v>GitHub Actions + Checkly</x:v>
      </x:c>
      <x:c r="F63" s="170" t="str">
        <x:v>Yes</x:v>
      </x:c>
      <x:c r="G63" s="170" t="str">
        <x:v>T-011</x:v>
      </x:c>
      <x:c r="H63" s="170" t="str">
        <x:v>Blocked</x:v>
      </x:c>
      <x:c r="I63" s="171" t="n">
        <x:v>46215.847916666666</x:v>
      </x:c>
      <x:c r="J63" s="170" t="str">
        <x:v>Run 29207536485: zero steps</x:v>
      </x:c>
      <x:c r="K63" s="170" t="str">
        <x:v>Same GitHub payment/spending refusal; expanded cloud owner proof remains mandatory and unclaimed.</x:v>
      </x:c>
    </x:row>
    <x:row r="64" ht="78" customHeight="1">
      <x:c r="A64" s="170" t="str">
        <x:v>QA-059</x:v>
      </x:c>
      <x:c r="B64" s="170" t="str">
        <x:v>Safety</x:v>
      </x:c>
      <x:c r="C64" s="170" t="str">
        <x:v>Historical inventory read-only source policy</x:v>
      </x:c>
      <x:c r="D64" s="170" t="str">
        <x:v>N/A</x:v>
      </x:c>
      <x:c r="E64" s="170" t="str">
        <x:v>Node policy + tsc + ESLint</x:v>
      </x:c>
      <x:c r="F64" s="170" t="str">
        <x:v>Yes</x:v>
      </x:c>
      <x:c r="G64" s="170" t="str">
        <x:v>T-015</x:v>
      </x:c>
      <x:c r="H64" s="170" t="str">
        <x:v>Passed</x:v>
      </x:c>
      <x:c r="I64" s="171" t="n">
        <x:v>46215.854166666664</x:v>
      </x:c>
      <x:c r="J64" s="170" t="str">
        <x:v>44/44 Guardian policy tests</x:v>
      </x:c>
      <x:c r="K64" s="170" t="str">
        <x:v>Explicit confirmation and READ ONLY transaction required; SQL write verbs rejected from source.</x:v>
      </x:c>
    </x:row>
    <x:row r="65" ht="78" customHeight="1">
      <x:c r="A65" s="170" t="str">
        <x:v>QA-060</x:v>
      </x:c>
      <x:c r="B65" s="170" t="str">
        <x:v>Production</x:v>
      </x:c>
      <x:c r="C65" s="170" t="str">
        <x:v>Historical reserved-domain fixture inventory</x:v>
      </x:c>
      <x:c r="D65" s="170" t="str">
        <x:v>Production DB</x:v>
      </x:c>
      <x:c r="E65" s="170" t="str">
        <x:v>Railway SSH + Postgres</x:v>
      </x:c>
      <x:c r="F65" s="170" t="str">
        <x:v>Yes</x:v>
      </x:c>
      <x:c r="G65" s="170" t="str">
        <x:v>T-015</x:v>
      </x:c>
      <x:c r="H65" s="170" t="str">
        <x:v>Passed</x:v>
      </x:c>
      <x:c r="I65" s="171" t="n">
        <x:v>46215.854166666664</x:v>
      </x:c>
      <x:c r="J65" s="170" t="str">
        <x:v>55 users; 22 companies; 66 sessions</x:v>
      </x:c>
      <x:c r="K65" s="170" t="str">
        <x:v>Counts only: 22 customers, 22 jobs, 22 invoices plus dependencies; readOnly=true and no data changed.</x:v>
      </x:c>
    </x:row>
    <x:row r="66" ht="78" customHeight="1">
      <x:c r="A66" s="170" t="str">
        <x:v>QA-061</x:v>
      </x:c>
      <x:c r="B66" s="170" t="str">
        <x:v>Infrastructure</x:v>
      </x:c>
      <x:c r="C66" s="170" t="str">
        <x:v>Final-head PR release gate</x:v>
      </x:c>
      <x:c r="D66" s="170" t="str">
        <x:v>GitHub runner</x:v>
      </x:c>
      <x:c r="E66" s="170" t="str">
        <x:v>GitHub Actions</x:v>
      </x:c>
      <x:c r="F66" s="170" t="str">
        <x:v>Yes</x:v>
      </x:c>
      <x:c r="G66" s="170" t="str">
        <x:v>T-011</x:v>
      </x:c>
      <x:c r="H66" s="170" t="str">
        <x:v>Blocked</x:v>
      </x:c>
      <x:c r="I66" s="171" t="n">
        <x:v>46215.854166666664</x:v>
      </x:c>
      <x:c r="J66" s="170" t="str">
        <x:v>Run 29207823858: zero steps</x:v>
      </x:c>
      <x:c r="K66" s="170" t="str">
        <x:v>GitHub payment/spending refusal; no code or QA command started.</x:v>
      </x:c>
    </x:row>
    <x:row r="67" ht="78" customHeight="1">
      <x:c r="A67" s="170" t="str">
        <x:v>QA-062</x:v>
      </x:c>
      <x:c r="B67" s="170" t="str">
        <x:v>Infrastructure</x:v>
      </x:c>
      <x:c r="C67" s="170" t="str">
        <x:v>Final-head 26-route owner cloud proof</x:v>
      </x:c>
      <x:c r="D67" s="170" t="str">
        <x:v>1366×900</x:v>
      </x:c>
      <x:c r="E67" s="170" t="str">
        <x:v>GitHub Actions + Checkly</x:v>
      </x:c>
      <x:c r="F67" s="170" t="str">
        <x:v>Yes</x:v>
      </x:c>
      <x:c r="G67" s="170" t="str">
        <x:v>T-011</x:v>
      </x:c>
      <x:c r="H67" s="170" t="str">
        <x:v>Blocked</x:v>
      </x:c>
      <x:c r="I67" s="171" t="n">
        <x:v>46215.854166666664</x:v>
      </x:c>
      <x:c r="J67" s="170" t="str">
        <x:v>Run 29207830428: zero steps</x:v>
      </x:c>
      <x:c r="K67" s="170" t="str">
        <x:v>Same GitHub payment/spending refusal; exact-head owner proof remains mandatory and unclaimed.</x:v>
      </x:c>
    </x:row>
    <x:row r="68" ht="80" customHeight="1">
      <x:c r="A68" s="170" t="str">
        <x:v>QA-063</x:v>
      </x:c>
      <x:c r="B68" s="170" t="str">
        <x:v>Automation</x:v>
      </x:c>
      <x:c r="C68" s="170" t="str">
        <x:v>Shared static owner-route catalog parity</x:v>
      </x:c>
      <x:c r="D68" s="170" t="str">
        <x:v>27 owner routes</x:v>
      </x:c>
      <x:c r="E68" s="170" t="str">
        <x:v>Node policy</x:v>
      </x:c>
      <x:c r="F68" s="170" t="str">
        <x:v>Yes</x:v>
      </x:c>
      <x:c r="G68" s="170" t="str">
        <x:v>T-007</x:v>
      </x:c>
      <x:c r="H68" s="170" t="str">
        <x:v>Passed</x:v>
      </x:c>
      <x:c r="I68" s="171" t="n">
        <x:v>46215.913194444445</x:v>
      </x:c>
      <x:c r="J68" s="170" t="str">
        <x:v>44/44 Guardian policy tests</x:v>
      </x:c>
      <x:c r="K68" s="170" t="str">
        <x:v>Deterministic and Checkly consumers cannot drift; Move-In Assistant was added when main introduced the route.</x:v>
      </x:c>
    </x:row>
    <x:row r="69" ht="80" customHeight="1">
      <x:c r="A69" s="170" t="str">
        <x:v>QA-064</x:v>
      </x:c>
      <x:c r="B69" s="170" t="str">
        <x:v>Production</x:v>
      </x:c>
      <x:c r="C69" s="170" t="str">
        <x:v>Complete owner route/viewport audit</x:v>
      </x:c>
      <x:c r="D69" s="170" t="str">
        <x:v>3 widths × 26 historical routes</x:v>
      </x:c>
      <x:c r="E69" s="170" t="str">
        <x:v>Playwright Chromium</x:v>
      </x:c>
      <x:c r="F69" s="170" t="str">
        <x:v>Yes</x:v>
      </x:c>
      <x:c r="G69" s="170" t="str">
        <x:v>T-007</x:v>
      </x:c>
      <x:c r="H69" s="170" t="str">
        <x:v>Failed</x:v>
      </x:c>
      <x:c r="I69" s="171" t="n">
        <x:v>46215.913194444445</x:v>
      </x:c>
      <x:c r="J69" s="170" t="str">
        <x:v>69/78 passed</x:v>
      </x:c>
      <x:c r="K69" s="170" t="str">
        <x:v>Historical live audit predates Move-In Assistant; current required matrix is 27×3=81.</x:v>
      </x:c>
    </x:row>
    <x:row r="70" ht="80" customHeight="1">
      <x:c r="A70" s="170" t="str">
        <x:v>QA-065</x:v>
      </x:c>
      <x:c r="B70" s="170" t="str">
        <x:v>Regression</x:v>
      </x:c>
      <x:c r="C70" s="170" t="str">
        <x:v>Exact repaired desktop surfaces</x:v>
      </x:c>
      <x:c r="D70" s="170" t="str">
        <x:v>5 routes × 3 widths</x:v>
      </x:c>
      <x:c r="E70" s="170" t="str">
        <x:v>Local Playwright Chromium</x:v>
      </x:c>
      <x:c r="F70" s="170" t="str">
        <x:v>Yes</x:v>
      </x:c>
      <x:c r="G70" s="170" t="str">
        <x:v>T-016</x:v>
      </x:c>
      <x:c r="H70" s="170" t="str">
        <x:v>Passed</x:v>
      </x:c>
      <x:c r="I70" s="171" t="n">
        <x:v>46215.913194444445</x:v>
      </x:c>
      <x:c r="J70" s="170" t="str">
        <x:v>15/15 passed</x:v>
      </x:c>
      <x:c r="K70" s="170" t="str">
        <x:v>Services, SMS Contacts, Common Replies, Settings, and Move-In Assistant render without fatal UI, console error, or overflow.</x:v>
      </x:c>
    </x:row>
    <x:row r="71" ht="80" customHeight="1">
      <x:c r="A71" s="170" t="str">
        <x:v>QA-066</x:v>
      </x:c>
      <x:c r="B71" s="170" t="str">
        <x:v>Regression</x:v>
      </x:c>
      <x:c r="C71" s="170" t="str">
        <x:v>Layout and company-branch contracts</x:v>
      </x:c>
      <x:c r="D71" s="170" t="str">
        <x:v>N/A</x:v>
      </x:c>
      <x:c r="E71" s="170" t="str">
        <x:v>Vitest</x:v>
      </x:c>
      <x:c r="F71" s="170" t="str">
        <x:v>Yes</x:v>
      </x:c>
      <x:c r="G71" s="170" t="str">
        <x:v>T-016</x:v>
      </x:c>
      <x:c r="H71" s="170" t="str">
        <x:v>Passed</x:v>
      </x:c>
      <x:c r="I71" s="171" t="n">
        <x:v>46215.913194444445</x:v>
      </x:c>
      <x:c r="J71" s="170" t="str">
        <x:v>10/10 focused tests</x:v>
      </x:c>
      <x:c r="K71" s="170" t="str">
        <x:v>Branch CRUD invariants plus AppLayout and feature-title contracts passed.</x:v>
      </x:c>
    </x:row>
    <x:row r="72" ht="80" customHeight="1">
      <x:c r="A72" s="170" t="str">
        <x:v>QA-067</x:v>
      </x:c>
      <x:c r="B72" s="170" t="str">
        <x:v>Quality</x:v>
      </x:c>
      <x:c r="C72" s="170" t="str">
        <x:v>Complete branch code gates</x:v>
      </x:c>
      <x:c r="D72" s="170" t="str">
        <x:v>N/A</x:v>
      </x:c>
      <x:c r="E72" s="170" t="str">
        <x:v>Vitest + Node + tsc + ESLint + Vite</x:v>
      </x:c>
      <x:c r="F72" s="170" t="str">
        <x:v>Yes</x:v>
      </x:c>
      <x:c r="G72" s="170" t="str">
        <x:v>T-009</x:v>
      </x:c>
      <x:c r="H72" s="170" t="str">
        <x:v>Passed</x:v>
      </x:c>
      <x:c r="I72" s="171" t="n">
        <x:v>46215.913194444445</x:v>
      </x:c>
      <x:c r="J72" s="170" t="str">
        <x:v>769 unit; 44 policy; 16 incident</x:v>
      </x:c>
      <x:c r="K72" s="170" t="str">
        <x:v>TypeScript, focused lint, production build, and Checkly bundle also exited 0 after merging current main.</x:v>
      </x:c>
    </x:row>
    <x:row r="73" ht="80" customHeight="1">
      <x:c r="A73" s="170" t="str">
        <x:v>QA-068</x:v>
      </x:c>
      <x:c r="B73" s="170" t="str">
        <x:v>Regression</x:v>
      </x:c>
      <x:c r="C73" s="170" t="str">
        <x:v>Complete rendered desktop catalog</x:v>
      </x:c>
      <x:c r="D73" s="170" t="str">
        <x:v>194 behaviors</x:v>
      </x:c>
      <x:c r="E73" s="170" t="str">
        <x:v>Local Playwright Chromium</x:v>
      </x:c>
      <x:c r="F73" s="170" t="str">
        <x:v>Yes</x:v>
      </x:c>
      <x:c r="G73" s="170" t="str">
        <x:v>T-009</x:v>
      </x:c>
      <x:c r="H73" s="170" t="str">
        <x:v>Passed</x:v>
      </x:c>
      <x:c r="I73" s="171" t="n">
        <x:v>46215.913194444445</x:v>
      </x:c>
      <x:c r="J73" s="170" t="str">
        <x:v>194/194 passed in 2.7m</x:v>
      </x:c>
      <x:c r="K73" s="170" t="str">
        <x:v>Uncontended final rerun passed. Prior parallel resource-contention timeout remains recorded separately.</x:v>
      </x:c>
    </x:row>
    <x:row r="74" ht="80" customHeight="1">
      <x:c r="A74" s="170" t="str">
        <x:v>QA-069</x:v>
      </x:c>
      <x:c r="B74" s="170" t="str">
        <x:v>Automation</x:v>
      </x:c>
      <x:c r="C74" s="170" t="str">
        <x:v>Standalone Browser Base QA foundation</x:v>
      </x:c>
      <x:c r="D74" s="170" t="str">
        <x:v>12 journey/device entries</x:v>
      </x:c>
      <x:c r="E74" s="170" t="str">
        <x:v>Node + YAML</x:v>
      </x:c>
      <x:c r="F74" s="170" t="str">
        <x:v>Yes</x:v>
      </x:c>
      <x:c r="G74" s="170" t="str">
        <x:v>T-003</x:v>
      </x:c>
      <x:c r="H74" s="170" t="str">
        <x:v>Passed</x:v>
      </x:c>
      <x:c r="I74" s="171" t="n">
        <x:v>46215.90625</x:v>
      </x:c>
      <x:c r="J74" s="170" t="str">
        <x:v>4/4 contracts; 12-entry dry run; a468b1a</x:v>
      </x:c>
      <x:c r="K74" s="170" t="str">
        <x:v>Standalone registry now includes all 27 owner routes including Move-In Assistant.</x:v>
      </x:c>
    </x:row>
    <x:row r="75" ht="80" customHeight="1">
      <x:c r="A75" s="170" t="str">
        <x:v>QA-070</x:v>
      </x:c>
      <x:c r="B75" s="170" t="str">
        <x:v>Production</x:v>
      </x:c>
      <x:c r="C75" s="170" t="str">
        <x:v>Standalone public PestFlow oracles</x:v>
      </x:c>
      <x:c r="D75" s="170" t="str">
        <x:v>Production</x:v>
      </x:c>
      <x:c r="E75" s="170" t="str">
        <x:v>Read-only HTTP</x:v>
      </x:c>
      <x:c r="F75" s="170" t="str">
        <x:v>Yes</x:v>
      </x:c>
      <x:c r="G75" s="170" t="str">
        <x:v>T-011</x:v>
      </x:c>
      <x:c r="H75" s="170" t="str">
        <x:v>Failed</x:v>
      </x:c>
      <x:c r="I75" s="171" t="n">
        <x:v>46215.90625</x:v>
      </x:c>
      <x:c r="J75" s="170" t="str">
        <x:v>2/4 passed</x:v>
      </x:c>
      <x:c r="K75" s="170" t="str">
        <x:v>DB/schema pass; currently deployed frontend/API health omit deployment.commitSha and therefore fail closed.</x:v>
      </x:c>
    </x:row>
    <x:row r="76" ht="82" customHeight="1">
      <x:c r="A76" s="170" t="str">
        <x:v>QA-071</x:v>
      </x:c>
      <x:c r="B76" s="170" t="str">
        <x:v>Infrastructure</x:v>
      </x:c>
      <x:c r="C76" s="170" t="str">
        <x:v>Exact merged-head PR release gate</x:v>
      </x:c>
      <x:c r="D76" s="170" t="str">
        <x:v>GitHub runner</x:v>
      </x:c>
      <x:c r="E76" s="170" t="str">
        <x:v>GitHub Actions</x:v>
      </x:c>
      <x:c r="F76" s="170" t="str">
        <x:v>Yes</x:v>
      </x:c>
      <x:c r="G76" s="170" t="str">
        <x:v>T-011</x:v>
      </x:c>
      <x:c r="H76" s="170" t="str">
        <x:v>Blocked</x:v>
      </x:c>
      <x:c r="I76" s="171" t="n">
        <x:v>46215.913194444445</x:v>
      </x:c>
      <x:c r="J76" s="170" t="str">
        <x:v>Run 29210282667: zero steps</x:v>
      </x:c>
      <x:c r="K76" s="170" t="str">
        <x:v>Verified billing/spending refusal; no product or QA command started.</x:v>
      </x:c>
    </x:row>
    <x:row r="77" ht="82" customHeight="1">
      <x:c r="A77" s="170" t="str">
        <x:v>QA-072</x:v>
      </x:c>
      <x:c r="B77" s="170" t="str">
        <x:v>Infrastructure</x:v>
      </x:c>
      <x:c r="C77" s="170" t="str">
        <x:v>Exact merged-head 27-route owner proof</x:v>
      </x:c>
      <x:c r="D77" s="170" t="str">
        <x:v>1366×900</x:v>
      </x:c>
      <x:c r="E77" s="170" t="str">
        <x:v>GitHub Actions + Checkly</x:v>
      </x:c>
      <x:c r="F77" s="170" t="str">
        <x:v>Yes</x:v>
      </x:c>
      <x:c r="G77" s="170" t="str">
        <x:v>T-011</x:v>
      </x:c>
      <x:c r="H77" s="170" t="str">
        <x:v>Blocked</x:v>
      </x:c>
      <x:c r="I77" s="171" t="n">
        <x:v>46215.913194444445</x:v>
      </x:c>
      <x:c r="J77" s="170" t="str">
        <x:v>Run 29210311515: zero steps</x:v>
      </x:c>
      <x:c r="K77" s="170" t="str">
        <x:v>Same verified billing/spending refusal; no final-head cloud pass is claimed.</x:v>
      </x:c>
    </x:row>
    <x:row r="78" ht="78" customHeight="1">
      <x:c r="A78" s="170" t="str">
        <x:v>QA-073</x:v>
      </x:c>
      <x:c r="B78" s="170" t="str">
        <x:v>Automation</x:v>
      </x:c>
      <x:c r="C78" s="170" t="str">
        <x:v>Authenticated owner API registry policy</x:v>
      </x:c>
      <x:c r="D78" s="170" t="str">
        <x:v>32 endpoints</x:v>
      </x:c>
      <x:c r="E78" s="170" t="str">
        <x:v>Node + TypeScript + ESLint</x:v>
      </x:c>
      <x:c r="F78" s="170" t="str">
        <x:v>Yes</x:v>
      </x:c>
      <x:c r="G78" s="170" t="str">
        <x:v>T-007</x:v>
      </x:c>
      <x:c r="H78" s="170" t="str">
        <x:v>Passed</x:v>
      </x:c>
      <x:c r="I78" s="171" t="n">
        <x:v>46215.92916666667</x:v>
      </x:c>
      <x:c r="J78" s="170" t="str">
        <x:v>45/45 Guardian policy tests</x:v>
      </x:c>
      <x:c r="K78" s="170" t="str">
        <x:v>Paths, ids, schema keys, arrays, GET-only use, complete attempts, and body non-retention are locked.</x:v>
      </x:c>
    </x:row>
    <x:row r="79" ht="78" customHeight="1">
      <x:c r="A79" s="170" t="str">
        <x:v>QA-074</x:v>
      </x:c>
      <x:c r="B79" s="170" t="str">
        <x:v>Production</x:v>
      </x:c>
      <x:c r="C79" s="170" t="str">
        <x:v>Authenticated owner API contract audit</x:v>
      </x:c>
      <x:c r="D79" s="170" t="str">
        <x:v>32 endpoints</x:v>
      </x:c>
      <x:c r="E79" s="170" t="str">
        <x:v>Playwright API</x:v>
      </x:c>
      <x:c r="F79" s="170" t="str">
        <x:v>Yes</x:v>
      </x:c>
      <x:c r="G79" s="170" t="str">
        <x:v>T-007</x:v>
      </x:c>
      <x:c r="H79" s="170" t="str">
        <x:v>Failed</x:v>
      </x:c>
      <x:c r="I79" s="171" t="n">
        <x:v>46215.92916666667</x:v>
      </x:c>
      <x:c r="J79" s="170" t="str">
        <x:v>31/32 passed</x:v>
      </x:c>
      <x:c r="K79" s="170" t="str">
        <x:v>Only /companies/branches returned 500 on current production; all other registered data surfaces passed.</x:v>
      </x:c>
    </x:row>
    <x:row r="80" ht="78" customHeight="1">
      <x:c r="A80" s="170" t="str">
        <x:v>QA-075</x:v>
      </x:c>
      <x:c r="B80" s="170" t="str">
        <x:v>Production</x:v>
      </x:c>
      <x:c r="C80" s="170" t="str">
        <x:v>API-audit fixture teardown</x:v>
      </x:c>
      <x:c r="D80" s="170" t="str">
        <x:v>5 synthetic accounts</x:v>
      </x:c>
      <x:c r="E80" s="170" t="str">
        <x:v>Better Auth + API</x:v>
      </x:c>
      <x:c r="F80" s="170" t="str">
        <x:v>Yes</x:v>
      </x:c>
      <x:c r="G80" s="170" t="str">
        <x:v>T-007</x:v>
      </x:c>
      <x:c r="H80" s="170" t="str">
        <x:v>Passed</x:v>
      </x:c>
      <x:c r="I80" s="171" t="n">
        <x:v>46215.92916666667</x:v>
      </x:c>
      <x:c r="J80" s="170" t="str">
        <x:v>5/5 deleted; 5/5 sessions cleared; 5/5 logins rejected</x:v>
      </x:c>
      <x:c r="K80" s="170" t="str">
        <x:v>No reserved-domain account from this run remained usable.</x:v>
      </x:c>
    </x:row>
    <x:row r="81" ht="78" customHeight="1">
      <x:c r="A81" s="170" t="str">
        <x:v>QA-076</x:v>
      </x:c>
      <x:c r="B81" s="170" t="str">
        <x:v>Automation</x:v>
      </x:c>
      <x:c r="C81" s="170" t="str">
        <x:v>Standalone Browserbase owner API executor</x:v>
      </x:c>
      <x:c r="D81" s="170" t="str">
        <x:v>32 endpoints; 12 sessions</x:v>
      </x:c>
      <x:c r="E81" s="170" t="str">
        <x:v>Node + Guardian dry run</x:v>
      </x:c>
      <x:c r="F81" s="170" t="str">
        <x:v>Yes</x:v>
      </x:c>
      <x:c r="G81" s="170" t="str">
        <x:v>T-003</x:v>
      </x:c>
      <x:c r="H81" s="170" t="str">
        <x:v>Passed</x:v>
      </x:c>
      <x:c r="I81" s="171" t="n">
        <x:v>46215.92916666667</x:v>
      </x:c>
      <x:c r="J81" s="170" t="str">
        <x:v>6/6 tests; 12-entry dry run; 37f199c</x:v>
      </x:c>
      <x:c r="K81" s="170" t="str">
        <x:v>Browser fetch evidence retains only status, content type, timing, key names, and array counts.</x:v>
      </x:c>
    </x:row>
    <x:row r="82" ht="78" customHeight="1">
      <x:c r="A82" s="170" t="str">
        <x:v>QA-077</x:v>
      </x:c>
      <x:c r="B82" s="170" t="str">
        <x:v>Infrastructure</x:v>
      </x:c>
      <x:c r="C82" s="170" t="str">
        <x:v>Exact API-contract PR release gate</x:v>
      </x:c>
      <x:c r="D82" s="170" t="str">
        <x:v>GitHub runner</x:v>
      </x:c>
      <x:c r="E82" s="170" t="str">
        <x:v>GitHub Actions</x:v>
      </x:c>
      <x:c r="F82" s="170" t="str">
        <x:v>Yes</x:v>
      </x:c>
      <x:c r="G82" s="170" t="str">
        <x:v>T-011</x:v>
      </x:c>
      <x:c r="H82" s="170" t="str">
        <x:v>Blocked</x:v>
      </x:c>
      <x:c r="I82" s="171" t="n">
        <x:v>46215.92916666667</x:v>
      </x:c>
      <x:c r="J82" s="170" t="str">
        <x:v>Run 29211160983: zero steps</x:v>
      </x:c>
      <x:c r="K82" s="170" t="str">
        <x:v>Verified payment/spending refusal; no product or QA command started.</x:v>
      </x:c>
    </x:row>
    <x:row r="83" ht="78" customHeight="1">
      <x:c r="A83" s="170" t="str">
        <x:v>QA-078</x:v>
      </x:c>
      <x:c r="B83" s="170" t="str">
        <x:v>Documentation</x:v>
      </x:c>
      <x:c r="C83" s="170" t="str">
        <x:v>Complete standalone PRD parity</x:v>
      </x:c>
      <x:c r="D83" s="170" t="str">
        <x:v>492 lines</x:v>
      </x:c>
      <x:c r="E83" s="170" t="str">
        <x:v>File hash + GitHub</x:v>
      </x:c>
      <x:c r="F83" s="170" t="str">
        <x:v>Yes</x:v>
      </x:c>
      <x:c r="G83" s="170" t="str">
        <x:v>T-009</x:v>
      </x:c>
      <x:c r="H83" s="170" t="str">
        <x:v>Passed</x:v>
      </x:c>
      <x:c r="I83" s="171" t="n">
        <x:v>46215.92916666667</x:v>
      </x:c>
      <x:c r="J83" s="170" t="str">
        <x:v>Both PRDs have identical SHA-1; 17795cb</x:v>
      </x:c>
      <x:c r="K83" s="170" t="str">
        <x:v>The complete canonical PRD is published in Browser-Base-QA, not only PestFlow.</x:v>
      </x:c>
    </x:row>
    <x:row r="84" ht="78" customHeight="1">
      <x:c r="A84" s="170" t="str">
        <x:v>QA-079</x:v>
      </x:c>
      <x:c r="B84" s="170" t="str">
        <x:v>Production</x:v>
      </x:c>
      <x:c r="C84" s="170" t="str">
        <x:v>Owner Settings/Inventory resource lifecycles</x:v>
      </x:c>
      <x:c r="D84" s="170" t="str">
        <x:v>3 resources</x:v>
      </x:c>
      <x:c r="E84" s="170" t="str">
        <x:v>Playwright API</x:v>
      </x:c>
      <x:c r="F84" s="170" t="str">
        <x:v>Yes</x:v>
      </x:c>
      <x:c r="G84" s="170" t="str">
        <x:v>T-007</x:v>
      </x:c>
      <x:c r="H84" s="170" t="str">
        <x:v>Passed</x:v>
      </x:c>
      <x:c r="I84" s="171" t="n">
        <x:v>46215.93541666667</x:v>
      </x:c>
      <x:c r="J84" s="170" t="str">
        <x:v>1/1 in 2.4m</x:v>
      </x:c>
      <x:c r="K84" s="170" t="str">
        <x:v>Equipment, preset notes, and chemical products passed create/list/isolate/update/delete/absence proof.</x:v>
      </x:c>
    </x:row>
    <x:row r="85" ht="78" customHeight="1">
      <x:c r="A85" s="170" t="str">
        <x:v>QA-080</x:v>
      </x:c>
      <x:c r="B85" s="170" t="str">
        <x:v>Production</x:v>
      </x:c>
      <x:c r="C85" s="170" t="str">
        <x:v>Resource-lifecycle fixture teardown</x:v>
      </x:c>
      <x:c r="D85" s="170" t="str">
        <x:v>5 synthetic accounts</x:v>
      </x:c>
      <x:c r="E85" s="170" t="str">
        <x:v>Better Auth + API</x:v>
      </x:c>
      <x:c r="F85" s="170" t="str">
        <x:v>Yes</x:v>
      </x:c>
      <x:c r="G85" s="170" t="str">
        <x:v>T-007</x:v>
      </x:c>
      <x:c r="H85" s="170" t="str">
        <x:v>Passed</x:v>
      </x:c>
      <x:c r="I85" s="171" t="n">
        <x:v>46215.93541666667</x:v>
      </x:c>
      <x:c r="J85" s="170" t="str">
        <x:v>5/5 deleted; 5/5 sessions cleared; 5/5 logins rejected</x:v>
      </x:c>
      <x:c r="K85" s="170" t="str">
        <x:v>All explicitly created resources were removed before the company/account cascade.</x:v>
      </x:c>
    </x:row>
    <x:row r="86" ht="78" customHeight="1">
      <x:c r="A86" s="170" t="str">
        <x:v>QA-081</x:v>
      </x:c>
      <x:c r="B86" s="170" t="str">
        <x:v>Infrastructure</x:v>
      </x:c>
      <x:c r="C86" s="170" t="str">
        <x:v>Exact resource-lifecycle PR release gate</x:v>
      </x:c>
      <x:c r="D86" s="170" t="str">
        <x:v>GitHub runner</x:v>
      </x:c>
      <x:c r="E86" s="170" t="str">
        <x:v>GitHub Actions</x:v>
      </x:c>
      <x:c r="F86" s="170" t="str">
        <x:v>Yes</x:v>
      </x:c>
      <x:c r="G86" s="170" t="str">
        <x:v>T-011</x:v>
      </x:c>
      <x:c r="H86" s="170" t="str">
        <x:v>Blocked</x:v>
      </x:c>
      <x:c r="I86" s="171" t="n">
        <x:v>46215.93541666667</x:v>
      </x:c>
      <x:c r="J86" s="170" t="str">
        <x:v>Run 29211489437: zero steps</x:v>
      </x:c>
      <x:c r="K86" s="170" t="str">
        <x:v>Verified payment/spending refusal; no product or QA command started.</x:v>
      </x:c>
    </x:row>
    <x:row r="87" ht="78" customHeight="1">
      <x:c r="A87" s="170" t="str">
        <x:v>QA-082</x:v>
      </x:c>
      <x:c r="B87" s="170" t="str">
        <x:v>Production</x:v>
      </x:c>
      <x:c r="C87" s="170" t="str">
        <x:v>Provider-safe documents and communications</x:v>
      </x:c>
      <x:c r="D87" s="170" t="str">
        <x:v>5 outcome groups</x:v>
      </x:c>
      <x:c r="E87" s="170" t="str">
        <x:v>Playwright API</x:v>
      </x:c>
      <x:c r="F87" s="170" t="str">
        <x:v>Yes</x:v>
      </x:c>
      <x:c r="G87" s="170" t="str">
        <x:v>T-007</x:v>
      </x:c>
      <x:c r="H87" s="170" t="str">
        <x:v>Passed</x:v>
      </x:c>
      <x:c r="I87" s="171" t="n">
        <x:v>46215.94097222222</x:v>
      </x:c>
      <x:c r="J87" s="170" t="str">
        <x:v>1/1 in 2.4m</x:v>
      </x:c>
      <x:c r="K87" s="170" t="str">
        <x:v>Unsigned document, response template, disabled rule, internal message read, and preference restore passed.</x:v>
      </x:c>
    </x:row>
    <x:row r="88" ht="78" customHeight="1">
      <x:c r="A88" s="170" t="str">
        <x:v>QA-083</x:v>
      </x:c>
      <x:c r="B88" s="170" t="str">
        <x:v>Production</x:v>
      </x:c>
      <x:c r="C88" s="170" t="str">
        <x:v>Communications-lifecycle fixture teardown</x:v>
      </x:c>
      <x:c r="D88" s="170" t="str">
        <x:v>5 synthetic accounts</x:v>
      </x:c>
      <x:c r="E88" s="170" t="str">
        <x:v>Better Auth + API</x:v>
      </x:c>
      <x:c r="F88" s="170" t="str">
        <x:v>Yes</x:v>
      </x:c>
      <x:c r="G88" s="170" t="str">
        <x:v>T-007</x:v>
      </x:c>
      <x:c r="H88" s="170" t="str">
        <x:v>Passed</x:v>
      </x:c>
      <x:c r="I88" s="171" t="n">
        <x:v>46215.94097222222</x:v>
      </x:c>
      <x:c r="J88" s="170" t="str">
        <x:v>5/5 deleted; 5/5 sessions cleared; 5/5 logins rejected</x:v>
      </x:c>
      <x:c r="K88" s="170" t="str">
        <x:v>No provider action ran and no synthetic account remained usable.</x:v>
      </x:c>
    </x:row>
    <x:row r="89" ht="78" customHeight="1">
      <x:c r="A89" s="170" t="str">
        <x:v>QA-084</x:v>
      </x:c>
      <x:c r="B89" s="170" t="str">
        <x:v>Infrastructure</x:v>
      </x:c>
      <x:c r="C89" s="170" t="str">
        <x:v>Exact communications-lifecycle PR gate</x:v>
      </x:c>
      <x:c r="D89" s="170" t="str">
        <x:v>GitHub runner</x:v>
      </x:c>
      <x:c r="E89" s="170" t="str">
        <x:v>GitHub Actions</x:v>
      </x:c>
      <x:c r="F89" s="170" t="str">
        <x:v>Yes</x:v>
      </x:c>
      <x:c r="G89" s="170" t="str">
        <x:v>T-011</x:v>
      </x:c>
      <x:c r="H89" s="170" t="str">
        <x:v>Blocked</x:v>
      </x:c>
      <x:c r="I89" s="171" t="n">
        <x:v>46215.94097222222</x:v>
      </x:c>
      <x:c r="J89" s="170" t="str">
        <x:v>Run 29211754954: zero steps</x:v>
      </x:c>
      <x:c r="K89" s="170" t="str">
        <x:v>Verified payment/spending refusal; no product or QA command started.</x:v>
      </x:c>
    </x:row>
    <x:row r="90" ht="84" customHeight="1">
      <x:c r="A90" s="170" t="str">
        <x:v>QA-085</x:v>
      </x:c>
      <x:c r="B90" s="170" t="str">
        <x:v>Production</x:v>
      </x:c>
      <x:c r="C90" s="170" t="str">
        <x:v>Operational inventory tenant isolation</x:v>
      </x:c>
      <x:c r="D90" s="170" t="str">
        <x:v>2 prohibited cross-company writes</x:v>
      </x:c>
      <x:c r="E90" s="170" t="str">
        <x:v>Playwright API</x:v>
      </x:c>
      <x:c r="F90" s="170" t="str">
        <x:v>Yes</x:v>
      </x:c>
      <x:c r="G90" s="170" t="str">
        <x:v>T-007</x:v>
      </x:c>
      <x:c r="H90" s="170" t="str">
        <x:v>Failed</x:v>
      </x:c>
      <x:c r="I90" s="171" t="n">
        <x:v>46215.95486111111</x:v>
      </x:c>
      <x:c r="J90" s="170" t="str">
        <x:v>HTTP 200/200; expected 404/404</x:v>
      </x:c>
      <x:c r="K90" s="170" t="str">
        <x:v>Current production accepted foreign job/equipment/customer references in two controlled synthetic runs.</x:v>
      </x:c>
    </x:row>
    <x:row r="91" ht="84" customHeight="1">
      <x:c r="A91" s="170" t="str">
        <x:v>QA-086</x:v>
      </x:c>
      <x:c r="B91" s="170" t="str">
        <x:v>Regression</x:v>
      </x:c>
      <x:c r="C91" s="170" t="str">
        <x:v>Operational inventory tenant-scope route contracts</x:v>
      </x:c>
      <x:c r="D91" s="170" t="str">
        <x:v>Invalid, foreign, and valid references</x:v>
      </x:c>
      <x:c r="E91" s="170" t="str">
        <x:v>Vitest</x:v>
      </x:c>
      <x:c r="F91" s="170" t="str">
        <x:v>Yes</x:v>
      </x:c>
      <x:c r="G91" s="170" t="str">
        <x:v>T-016</x:v>
      </x:c>
      <x:c r="H91" s="170" t="str">
        <x:v>Passed</x:v>
      </x:c>
      <x:c r="I91" s="171" t="n">
        <x:v>46215.95486111111</x:v>
      </x:c>
      <x:c r="J91" s="170" t="str">
        <x:v>6/6 passed</x:v>
      </x:c>
      <x:c r="K91" s="170" t="str">
        <x:v>Both routes reject invalid IDs, reject cross-company references, and preserve valid company-owned inserts.</x:v>
      </x:c>
    </x:row>
    <x:row r="92" ht="84" customHeight="1">
      <x:c r="A92" s="170" t="str">
        <x:v>QA-087</x:v>
      </x:c>
      <x:c r="B92" s="170" t="str">
        <x:v>Quality</x:v>
      </x:c>
      <x:c r="C92" s="170" t="str">
        <x:v>Full repaired branch validation</x:v>
      </x:c>
      <x:c r="D92" s="170" t="str">
        <x:v>75 unit files + Guardian + incident + build</x:v>
      </x:c>
      <x:c r="E92" s="170" t="str">
        <x:v>Vitest + TypeScript + ESLint + Vite</x:v>
      </x:c>
      <x:c r="F92" s="170" t="str">
        <x:v>Yes</x:v>
      </x:c>
      <x:c r="G92" s="170" t="str">
        <x:v>T-016</x:v>
      </x:c>
      <x:c r="H92" s="170" t="str">
        <x:v>Passed</x:v>
      </x:c>
      <x:c r="I92" s="171" t="n">
        <x:v>46215.95486111111</x:v>
      </x:c>
      <x:c r="J92" s="170" t="str">
        <x:v>775/775; 45/45; 16/16; build passed</x:v>
      </x:c>
      <x:c r="K92" s="170" t="str">
        <x:v>TypeScript and focused lint also passed; production build transformed 5,699 modules.</x:v>
      </x:c>
    </x:row>
    <x:row r="93" ht="84" customHeight="1">
      <x:c r="A93" s="170" t="str">
        <x:v>QA-088</x:v>
      </x:c>
      <x:c r="B93" s="170" t="str">
        <x:v>Production</x:v>
      </x:c>
      <x:c r="C93" s="170" t="str">
        <x:v>Tenant-isolation discovery teardown</x:v>
      </x:c>
      <x:c r="D93" s="170" t="str">
        <x:v>2 runs × 5 synthetic accounts</x:v>
      </x:c>
      <x:c r="E93" s="170" t="str">
        <x:v>Better Auth + API</x:v>
      </x:c>
      <x:c r="F93" s="170" t="str">
        <x:v>Yes</x:v>
      </x:c>
      <x:c r="G93" s="170" t="str">
        <x:v>T-007</x:v>
      </x:c>
      <x:c r="H93" s="170" t="str">
        <x:v>Passed</x:v>
      </x:c>
      <x:c r="I93" s="171" t="n">
        <x:v>46215.95486111111</x:v>
      </x:c>
      <x:c r="J93" s="170" t="str">
        <x:v>Each run: 5/5 deleted, sessions cleared, logins rejected</x:v>
      </x:c>
      <x:c r="K93" s="170" t="str">
        <x:v>Explicit job-equipment usage was deleted and the synthetic company cascade removed the controlled chemical record.</x:v>
      </x:c>
    </x:row>
    <x:row r="94" ht="84" customHeight="1">
      <x:c r="A94" s="170" t="str">
        <x:v>QA-089</x:v>
      </x:c>
      <x:c r="B94" s="170" t="str">
        <x:v>Infrastructure</x:v>
      </x:c>
      <x:c r="C94" s="170" t="str">
        <x:v>Exact tenant-boundary PR gate</x:v>
      </x:c>
      <x:c r="D94" s="170" t="str">
        <x:v>GitHub runner</x:v>
      </x:c>
      <x:c r="E94" s="170" t="str">
        <x:v>GitHub Actions</x:v>
      </x:c>
      <x:c r="F94" s="170" t="str">
        <x:v>Yes</x:v>
      </x:c>
      <x:c r="G94" s="170" t="str">
        <x:v>T-011</x:v>
      </x:c>
      <x:c r="H94" s="170" t="str">
        <x:v>Blocked</x:v>
      </x:c>
      <x:c r="I94" s="171" t="n">
        <x:v>46215.95486111111</x:v>
      </x:c>
      <x:c r="J94" s="170" t="str">
        <x:v>Run 29212212813: zero steps</x:v>
      </x:c>
      <x:c r="K94" s="170" t="str">
        <x:v>Verified payment/spending refusal; no product or QA command started.</x:v>
      </x:c>
    </x:row>
    <x:row r="95">
      <x:c r="A95" s="133"/>
      <x:c r="B95" s="133"/>
      <x:c r="C95" s="133"/>
      <x:c r="D95" s="133"/>
      <x:c r="E95" s="133"/>
      <x:c r="F95" s="133"/>
      <x:c r="G95" s="133"/>
      <x:c r="H95" s="133"/>
      <x:c r="I95" s="165"/>
      <x:c r="J95" s="133"/>
      <x:c r="K95" s="133"/>
    </x:row>
    <x:row r="96">
      <x:c r="A96" s="133"/>
      <x:c r="B96" s="133"/>
      <x:c r="C96" s="133"/>
      <x:c r="D96" s="133"/>
      <x:c r="E96" s="133"/>
      <x:c r="F96" s="133"/>
      <x:c r="G96" s="133"/>
      <x:c r="H96" s="133"/>
      <x:c r="I96" s="165"/>
      <x:c r="J96" s="133"/>
      <x:c r="K96" s="133"/>
    </x:row>
    <x:row r="97">
      <x:c r="A97" s="133"/>
      <x:c r="B97" s="133"/>
      <x:c r="C97" s="133"/>
      <x:c r="D97" s="133"/>
      <x:c r="E97" s="133"/>
      <x:c r="F97" s="133"/>
      <x:c r="G97" s="133"/>
      <x:c r="H97" s="133"/>
      <x:c r="I97" s="165"/>
      <x:c r="J97" s="133"/>
      <x:c r="K97" s="133"/>
    </x:row>
    <x:row r="98">
      <x:c r="A98" s="133"/>
      <x:c r="B98" s="133"/>
      <x:c r="C98" s="133"/>
      <x:c r="D98" s="133"/>
      <x:c r="E98" s="133"/>
      <x:c r="F98" s="133"/>
      <x:c r="G98" s="133"/>
      <x:c r="H98" s="133"/>
      <x:c r="I98" s="165"/>
      <x:c r="J98" s="133"/>
      <x:c r="K98" s="133"/>
    </x:row>
    <x:row r="99">
      <x:c r="A99" s="133"/>
      <x:c r="B99" s="133"/>
      <x:c r="C99" s="133"/>
      <x:c r="D99" s="133"/>
      <x:c r="E99" s="133"/>
      <x:c r="F99" s="133"/>
      <x:c r="G99" s="133"/>
      <x:c r="H99" s="133"/>
      <x:c r="I99" s="165"/>
      <x:c r="J99" s="133"/>
      <x:c r="K99" s="133"/>
    </x:row>
    <x:row r="100">
      <x:c r="A100" s="133"/>
      <x:c r="B100" s="133"/>
      <x:c r="C100" s="133"/>
      <x:c r="D100" s="133"/>
      <x:c r="E100" s="133"/>
      <x:c r="F100" s="133"/>
      <x:c r="G100" s="133"/>
      <x:c r="H100" s="133"/>
      <x:c r="I100" s="165"/>
      <x:c r="J100" s="133"/>
      <x:c r="K100" s="133"/>
    </x:row>
    <x:row r="101">
      <x:c r="A101" s="133"/>
      <x:c r="B101" s="133"/>
      <x:c r="C101" s="133"/>
      <x:c r="D101" s="133"/>
      <x:c r="E101" s="133"/>
      <x:c r="F101" s="133"/>
      <x:c r="G101" s="133"/>
      <x:c r="H101" s="133"/>
      <x:c r="I101" s="165"/>
      <x:c r="J101" s="133"/>
      <x:c r="K101" s="133"/>
    </x:row>
    <x:row r="102">
      <x:c r="A102" s="133"/>
      <x:c r="B102" s="133"/>
      <x:c r="C102" s="133"/>
      <x:c r="D102" s="133"/>
      <x:c r="E102" s="133"/>
      <x:c r="F102" s="133"/>
      <x:c r="G102" s="133"/>
      <x:c r="H102" s="133"/>
      <x:c r="I102" s="165"/>
      <x:c r="J102" s="133"/>
      <x:c r="K102" s="133"/>
    </x:row>
    <x:row r="103">
      <x:c r="A103" s="133"/>
      <x:c r="B103" s="133"/>
      <x:c r="C103" s="133"/>
      <x:c r="D103" s="133"/>
      <x:c r="E103" s="133"/>
      <x:c r="F103" s="133"/>
      <x:c r="G103" s="133"/>
      <x:c r="H103" s="133"/>
      <x:c r="I103" s="165"/>
      <x:c r="J103" s="133"/>
      <x:c r="K103" s="133"/>
    </x:row>
    <x:row r="104">
      <x:c r="A104" s="133"/>
      <x:c r="B104" s="133"/>
      <x:c r="C104" s="133"/>
      <x:c r="D104" s="133"/>
      <x:c r="E104" s="133"/>
      <x:c r="F104" s="133"/>
      <x:c r="G104" s="133"/>
      <x:c r="H104" s="133"/>
      <x:c r="I104" s="165"/>
      <x:c r="J104" s="133"/>
      <x:c r="K104" s="133"/>
    </x:row>
    <x:row r="105">
      <x:c r="A105" s="133"/>
      <x:c r="B105" s="133"/>
      <x:c r="C105" s="133"/>
      <x:c r="D105" s="133"/>
      <x:c r="E105" s="133"/>
      <x:c r="F105" s="133"/>
      <x:c r="G105" s="133"/>
      <x:c r="H105" s="133"/>
      <x:c r="I105" s="165"/>
      <x:c r="J105" s="133"/>
      <x:c r="K105" s="133"/>
    </x:row>
    <x:row r="106">
      <x:c r="I106" s="164"/>
    </x:row>
    <x:row r="107">
      <x:c r="I107" s="164"/>
    </x:row>
    <x:row r="108">
      <x:c r="I108" s="164"/>
    </x:row>
    <x:row r="109">
      <x:c r="I109" s="164"/>
    </x:row>
    <x:row r="110">
      <x:c r="I110" s="164"/>
    </x:row>
    <x:row r="111">
      <x:c r="I111" s="164"/>
    </x:row>
    <x:row r="112">
      <x:c r="I112" s="164"/>
    </x:row>
    <x:row r="113">
      <x:c r="I113" s="164"/>
    </x:row>
    <x:row r="114">
      <x:c r="I114" s="164"/>
    </x:row>
    <x:row r="115">
      <x:c r="I115" s="164"/>
    </x:row>
    <x:row r="116">
      <x:c r="I116" s="164"/>
    </x:row>
    <x:row r="117">
      <x:c r="I117" s="164"/>
    </x:row>
    <x:row r="118">
      <x:c r="I118" s="164"/>
    </x:row>
    <x:row r="119">
      <x:c r="I119" s="164"/>
    </x:row>
    <x:row r="120">
      <x:c r="I120" s="164"/>
    </x:row>
    <x:row r="121">
      <x:c r="I121" s="164"/>
    </x:row>
    <x:row r="122">
      <x:c r="I122" s="164"/>
    </x:row>
    <x:row r="123">
      <x:c r="I123" s="164"/>
    </x:row>
    <x:row r="124">
      <x:c r="I124" s="164"/>
    </x:row>
    <x:row r="125">
      <x:c r="I125" s="164"/>
    </x:row>
    <x:row r="126">
      <x:c r="I126" s="164"/>
    </x:row>
    <x:row r="127">
      <x:c r="I127" s="164"/>
    </x:row>
    <x:row r="128">
      <x:c r="I128" s="164"/>
    </x:row>
    <x:row r="129">
      <x:c r="I129" s="164"/>
    </x:row>
    <x:row r="130">
      <x:c r="I130" s="164"/>
    </x:row>
    <x:row r="131">
      <x:c r="I131" s="164"/>
    </x:row>
    <x:row r="132">
      <x:c r="I132" s="164"/>
    </x:row>
    <x:row r="133">
      <x:c r="I133" s="164"/>
    </x:row>
    <x:row r="134">
      <x:c r="I134" s="164"/>
    </x:row>
    <x:row r="135">
      <x:c r="I135" s="164"/>
    </x:row>
    <x:row r="136">
      <x:c r="I136" s="164"/>
    </x:row>
    <x:row r="137">
      <x:c r="I137" s="164"/>
    </x:row>
    <x:row r="138">
      <x:c r="I138" s="164"/>
    </x:row>
    <x:row r="139">
      <x:c r="I139" s="164"/>
    </x:row>
    <x:row r="140">
      <x:c r="I140" s="164"/>
    </x:row>
    <x:row r="141">
      <x:c r="I141" s="164"/>
    </x:row>
    <x:row r="142">
      <x:c r="I142" s="164"/>
    </x:row>
    <x:row r="143">
      <x:c r="I143" s="164"/>
    </x:row>
    <x:row r="144">
      <x:c r="I144" s="164"/>
    </x:row>
    <x:row r="145">
      <x:c r="I145" s="164"/>
    </x:row>
    <x:row r="146">
      <x:c r="I146" s="164"/>
    </x:row>
    <x:row r="147">
      <x:c r="I147" s="164"/>
    </x:row>
    <x:row r="148">
      <x:c r="I148" s="164"/>
    </x:row>
    <x:row r="149">
      <x:c r="I149" s="164"/>
    </x:row>
    <x:row r="150">
      <x:c r="I150" s="164"/>
    </x:row>
    <x:row r="151">
      <x:c r="I151" s="164"/>
    </x:row>
    <x:row r="152">
      <x:c r="I152" s="164"/>
    </x:row>
    <x:row r="153">
      <x:c r="I153" s="164"/>
    </x:row>
    <x:row r="154">
      <x:c r="I154" s="164"/>
    </x:row>
    <x:row r="155">
      <x:c r="I155" s="164"/>
    </x:row>
    <x:row r="156">
      <x:c r="I156" s="164"/>
    </x:row>
    <x:row r="157">
      <x:c r="I157" s="164"/>
    </x:row>
    <x:row r="158">
      <x:c r="I158" s="164"/>
    </x:row>
    <x:row r="159">
      <x:c r="I159" s="164"/>
    </x:row>
    <x:row r="160">
      <x:c r="I160" s="164"/>
    </x:row>
    <x:row r="161">
      <x:c r="I161" s="164"/>
    </x:row>
    <x:row r="162">
      <x:c r="I162" s="164"/>
    </x:row>
    <x:row r="163">
      <x:c r="I163" s="164"/>
    </x:row>
    <x:row r="164">
      <x:c r="I164" s="164"/>
    </x:row>
    <x:row r="165">
      <x:c r="I165" s="164"/>
    </x:row>
    <x:row r="166">
      <x:c r="I166" s="164"/>
    </x:row>
    <x:row r="167">
      <x:c r="I167" s="164"/>
    </x:row>
    <x:row r="168">
      <x:c r="I168" s="164"/>
    </x:row>
    <x:row r="169">
      <x:c r="I169" s="164"/>
    </x:row>
    <x:row r="170">
      <x:c r="I170" s="164"/>
    </x:row>
    <x:row r="171">
      <x:c r="I171" s="164"/>
    </x:row>
    <x:row r="172">
      <x:c r="I172" s="164"/>
    </x:row>
    <x:row r="173">
      <x:c r="I173" s="164"/>
    </x:row>
    <x:row r="174">
      <x:c r="I174" s="164"/>
    </x:row>
    <x:row r="175">
      <x:c r="I175" s="164"/>
    </x:row>
    <x:row r="176">
      <x:c r="I176" s="164"/>
    </x:row>
    <x:row r="177">
      <x:c r="I177" s="164"/>
    </x:row>
    <x:row r="178">
      <x:c r="I178" s="164"/>
    </x:row>
    <x:row r="179">
      <x:c r="I179" s="164"/>
    </x:row>
    <x:row r="180">
      <x:c r="I180" s="164"/>
    </x:row>
    <x:row r="181">
      <x:c r="I181" s="164"/>
    </x:row>
    <x:row r="182">
      <x:c r="I182" s="164"/>
    </x:row>
    <x:row r="183">
      <x:c r="I183" s="164"/>
    </x:row>
    <x:row r="184">
      <x:c r="I184" s="164"/>
    </x:row>
    <x:row r="185">
      <x:c r="I185" s="164"/>
    </x:row>
    <x:row r="186">
      <x:c r="I186" s="164"/>
    </x:row>
    <x:row r="187">
      <x:c r="I187" s="164"/>
    </x:row>
    <x:row r="188">
      <x:c r="I188" s="164"/>
    </x:row>
    <x:row r="189">
      <x:c r="I189" s="164"/>
    </x:row>
    <x:row r="190">
      <x:c r="I190" s="164"/>
    </x:row>
    <x:row r="191">
      <x:c r="I191" s="164"/>
    </x:row>
    <x:row r="192">
      <x:c r="I192" s="164"/>
    </x:row>
    <x:row r="193">
      <x:c r="I193" s="164"/>
    </x:row>
    <x:row r="194">
      <x:c r="I194" s="164"/>
    </x:row>
    <x:row r="195">
      <x:c r="I195" s="164"/>
    </x:row>
    <x:row r="196">
      <x:c r="I196" s="164"/>
    </x:row>
    <x:row r="197">
      <x:c r="I197" s="164"/>
    </x:row>
    <x:row r="198">
      <x:c r="I198" s="164"/>
    </x:row>
    <x:row r="199">
      <x:c r="I199" s="164"/>
    </x:row>
    <x:row r="200">
      <x:c r="I200" s="164"/>
    </x:row>
  </x:sheetData>
  <x:mergeCells>
    <x:mergeCell ref="A1:K1"/>
    <x:mergeCell ref="A2:K2"/>
  </x:mergeCells>
  <x:conditionalFormatting sqref="H6:H105">
    <x:cfRule type="containsText" dxfId="40" priority="1" operator="containsText" text="Done"/>
    <x:cfRule type="containsText" dxfId="41" priority="2" operator="containsText" text="Passed"/>
    <x:cfRule type="containsText" dxfId="42" priority="3" operator="containsText" text="In Progress"/>
    <x:cfRule type="containsText" dxfId="43" priority="4" operator="containsText" text="In Review"/>
    <x:cfRule type="containsText" dxfId="44" priority="5" operator="containsText" text="Blocked"/>
    <x:cfRule type="containsText" dxfId="45" priority="6" operator="containsText" text="Failed"/>
    <x:cfRule type="containsText" dxfId="46" priority="7" operator="containsText" text="Not Started"/>
    <x:cfRule type="containsText" dxfId="47" priority="8" operator="containsText" text="Pending"/>
  </x:conditionalFormatting>
  <x:dataValidations count="3">
    <x:dataValidation type="list" sqref="F6:F105">
      <x:formula1>"Yes,No,If Relevant"</x:formula1>
    </x:dataValidation>
    <x:dataValidation type="list" sqref="H6:H105">
      <x:formula1>"Pending,In Progress,Passed,Failed,Blocked,Not Needed"</x:formula1>
    </x:dataValidation>
    <x:dataValidation type="list" sqref="H6:H200">
      <x:formula1>"Pending,Passed,Failed,Blocked,Not Needed"</x:formula1>
    </x:dataValidation>
  </x:dataValidations>
  <x:pageMargins left="0.7" right="0.7" top="0.75" bottom="0.75" header="0.3" footer="0.3"/>
  <x:tableParts count="1">
    <x:tablePart xmlns:r="http://schemas.openxmlformats.org/officeDocument/2006/relationships" r:id="Rc512b8c00e0440c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6" hidden="0" customWidth="1"/>
    <x:col min="4" max="4" width="34" hidden="0" customWidth="1"/>
    <x:col min="5" max="5" width="30" hidden="0" customWidth="1"/>
    <x:col min="6" max="6" width="12" hidden="0" customWidth="1"/>
    <x:col min="7" max="7" width="34" hidden="0" customWidth="1"/>
    <x:col min="8" max="8" width="14" hidden="0" customWidth="1"/>
    <x:col min="9" max="9" width="16" hidden="0" customWidth="1"/>
    <x:col min="10" max="10" width="16" hidden="0" customWidth="1"/>
    <x:col min="11" max="11" width="28" hidden="0" customWidth="1"/>
    <x:col min="12" max="12" width="28" hidden="0" customWidth="1"/>
  </x:cols>
  <x:sheetData>
    <x:row r="1" ht="34" customHeight="1">
      <x:c r="A1" s="132" t="str">
        <x:v>Product Gaps</x:v>
      </x:c>
      <x:c r="B1" s="132" t="str">
        <x:v>Product Gaps</x:v>
      </x:c>
      <x:c r="C1" s="132" t="str">
        <x:v>Product Gaps</x:v>
      </x:c>
      <x:c r="D1" s="132" t="str">
        <x:v>Product Gaps</x:v>
      </x:c>
      <x:c r="E1" s="132" t="str">
        <x:v>Product Gaps</x:v>
      </x:c>
      <x:c r="F1" s="132" t="str">
        <x:v>Product Gaps</x:v>
      </x:c>
      <x:c r="G1" s="132" t="str">
        <x:v>Product Gaps</x:v>
      </x:c>
      <x:c r="H1" s="132" t="str">
        <x:v>Product Gaps</x:v>
      </x:c>
      <x:c r="I1" s="132" t="str">
        <x:v>Product Gaps</x:v>
      </x:c>
      <x:c r="J1" s="132" t="str">
        <x:v>Product Gaps</x:v>
      </x:c>
      <x:c r="K1" s="132" t="str">
        <x:v>Product Gaps</x:v>
      </x:c>
      <x:c r="L1" s="132" t="str">
        <x:v>Product Gaps</x:v>
      </x:c>
    </x:row>
    <x:row r="2" ht="32" customHeight="1">
      <x:c r="A2" s="7" t="str">
        <x:v>Capture gaps discovered while completing tasks. Record impact and evidence, propose a mechanism-level fix, and promote approved items into future Task IDs.</x:v>
      </x:c>
      <x:c r="B2" s="7" t="str">
        <x:v>Capture gaps discovered while completing tasks. Record impact and evidence, propose a mechanism-level fix, and promote approved items into future Task IDs.</x:v>
      </x:c>
      <x:c r="C2" s="7" t="str">
        <x:v>Capture gaps discovered while completing tasks. Record impact and evidence, propose a mechanism-level fix, and promote approved items into future Task IDs.</x:v>
      </x:c>
      <x:c r="D2" s="7" t="str">
        <x:v>Capture gaps discovered while completing tasks. Record impact and evidence, propose a mechanism-level fix, and promote approved items into future Task IDs.</x:v>
      </x:c>
      <x:c r="E2" s="7" t="str">
        <x:v>Capture gaps discovered while completing tasks. Record impact and evidence, propose a mechanism-level fix, and promote approved items into future Task IDs.</x:v>
      </x:c>
      <x:c r="F2" s="7" t="str">
        <x:v>Capture gaps discovered while completing tasks. Record impact and evidence, propose a mechanism-level fix, and promote approved items into future Task IDs.</x:v>
      </x:c>
      <x:c r="G2" s="7" t="str">
        <x:v>Capture gaps discovered while completing tasks. Record impact and evidence, propose a mechanism-level fix, and promote approved items into future Task IDs.</x:v>
      </x:c>
      <x:c r="H2" s="7" t="str">
        <x:v>Capture gaps discovered while completing tasks. Record impact and evidence, propose a mechanism-level fix, and promote approved items into future Task IDs.</x:v>
      </x:c>
      <x:c r="I2" s="7" t="str">
        <x:v>Capture gaps discovered while completing tasks. Record impact and evidence, propose a mechanism-level fix, and promote approved items into future Task IDs.</x:v>
      </x:c>
      <x:c r="J2" s="7" t="str">
        <x:v>Capture gaps discovered while completing tasks. Record impact and evidence, propose a mechanism-level fix, and promote approved items into future Task IDs.</x:v>
      </x:c>
      <x:c r="K2" s="7" t="str">
        <x:v>Capture gaps discovered while completing tasks. Record impact and evidence, propose a mechanism-level fix, and promote approved items into future Task IDs.</x:v>
      </x:c>
      <x:c r="L2" s="7" t="str">
        <x:v>Capture gaps discovered while completing tasks. Record impact and evidence, propose a mechanism-level fix, and promote approved items into future Task IDs.</x:v>
      </x:c>
    </x:row>
    <x:row r="3">
      <x:c r="A3" s="133"/>
      <x:c r="B3" s="133"/>
      <x:c r="C3" s="133"/>
      <x:c r="D3" s="133"/>
      <x:c r="E3" s="133"/>
      <x:c r="F3" s="133"/>
      <x:c r="G3" s="133"/>
      <x:c r="H3" s="133"/>
      <x:c r="I3" s="133"/>
      <x:c r="J3" s="133"/>
      <x:c r="K3" s="133"/>
      <x:c r="L3" s="133"/>
    </x:row>
    <x:row r="4">
      <x:c r="A4" s="133"/>
      <x:c r="B4" s="133"/>
      <x:c r="C4" s="133"/>
      <x:c r="D4" s="133"/>
      <x:c r="E4" s="133"/>
      <x:c r="F4" s="133"/>
      <x:c r="G4" s="133"/>
      <x:c r="H4" s="133"/>
      <x:c r="I4" s="133"/>
      <x:c r="J4" s="133"/>
      <x:c r="K4" s="133"/>
      <x:c r="L4" s="133"/>
    </x:row>
    <x:row r="5" ht="15" hidden="0" customHeight="1">
      <x:c r="A5" s="160" t="str">
        <x:v>Gap ID</x:v>
      </x:c>
      <x:c r="B5" s="161" t="str">
        <x:v>Found During Task</x:v>
      </x:c>
      <x:c r="C5" s="161" t="str">
        <x:v>Type</x:v>
      </x:c>
      <x:c r="D5" s="161" t="str">
        <x:v>Description</x:v>
      </x:c>
      <x:c r="E5" s="161" t="str">
        <x:v>User Impact</x:v>
      </x:c>
      <x:c r="F5" s="161" t="str">
        <x:v>Severity</x:v>
      </x:c>
      <x:c r="G5" s="161" t="str">
        <x:v>Recommendation</x:v>
      </x:c>
      <x:c r="H5" s="161" t="str">
        <x:v>Status</x:v>
      </x:c>
      <x:c r="I5" s="161" t="str">
        <x:v>Added as Task ID</x:v>
      </x:c>
      <x:c r="J5" s="161" t="str">
        <x:v>Owner</x:v>
      </x:c>
      <x:c r="K5" s="161" t="str">
        <x:v>Evidence</x:v>
      </x:c>
      <x:c r="L5" s="162" t="str">
        <x:v>Notes</x:v>
      </x:c>
    </x:row>
    <x:row r="6" ht="15" hidden="0" customHeight="1">
      <x:c r="A6" s="113" t="str"/>
      <x:c r="B6" s="113" t="str"/>
      <x:c r="C6" s="113" t="str"/>
      <x:c r="D6" s="113" t="str"/>
      <x:c r="E6" s="113" t="str"/>
      <x:c r="F6" s="113" t="str"/>
      <x:c r="G6" s="113" t="str"/>
      <x:c r="H6" s="113" t="str"/>
      <x:c r="I6" s="113" t="str"/>
      <x:c r="J6" s="113" t="str"/>
      <x:c r="K6" s="113" t="str"/>
      <x:c r="L6" s="113" t="str"/>
    </x:row>
    <x:row r="7" ht="39.599998474121094" hidden="0" customHeight="1">
      <x:c r="A7" s="168" t="str">
        <x:v>G-001</x:v>
      </x:c>
      <x:c r="B7" s="168" t="str">
        <x:v>T-010</x:v>
      </x:c>
      <x:c r="C7" s="168" t="str">
        <x:v>Test Infrastructure</x:v>
      </x:c>
      <x:c r="D7" s="168" t="str">
        <x:v>Browserbase API key, project id, and persistent PestFlow QA owner context are not configured.</x:v>
      </x:c>
      <x:c r="E7" s="168" t="str">
        <x:v>Hourly/nightly authenticated semantic sessions cannot start, so live Stagehand evidence is unavailable.</x:v>
      </x:c>
      <x:c r="F7" s="168" t="str">
        <x:v>Critical</x:v>
      </x:c>
      <x:c r="G7" s="168" t="str">
        <x:v>Create a dedicated non-customer QA company/context, add the three GitHub secrets, and dispatch tier 0.</x:v>
      </x:c>
      <x:c r="H7" s="168" t="str">
        <x:v>Open</x:v>
      </x:c>
      <x:c r="I7" s="168" t="str">
        <x:v>T-010</x:v>
      </x:c>
      <x:c r="J7" s="168" t="str">
        <x:v>Trevor</x:v>
      </x:c>
      <x:c r="K7" s="168" t="str">
        <x:v>Guardian preflight and local env inspection</x:v>
      </x:c>
      <x:c r="L7" s="168" t="str">
        <x:v>Do not use a real customer tenant.</x:v>
      </x:c>
    </x:row>
    <x:row r="8" ht="39.599998474121094" hidden="0" customHeight="1">
      <x:c r="A8" s="168" t="str">
        <x:v>G-002</x:v>
      </x:c>
      <x:c r="B8" s="168" t="str">
        <x:v>T-009</x:v>
      </x:c>
      <x:c r="C8" s="168" t="str">
        <x:v>Technical Debt</x:v>
      </x:c>
      <x:c r="D8" s="168" t="str">
        <x:v>Repository-wide eslint baseline contains 613 errors and 49 warnings.</x:v>
      </x:c>
      <x:c r="E8" s="168" t="str">
        <x:v>A global lint check cannot currently serve as a meaningful release gate and may hide newly introduced debt.</x:v>
      </x:c>
      <x:c r="F8" s="168" t="str">
        <x:v>High</x:v>
      </x:c>
      <x:c r="G8" s="168" t="str">
        <x:v>Add touched-file lint as the immediate ratchet, then reduce legacy violations by high-risk desktop/runtime domain.</x:v>
      </x:c>
      <x:c r="H8" s="168" t="str">
        <x:v>Open</x:v>
      </x:c>
      <x:c r="I8" s="168" t="str">
        <x:v>T-012</x:v>
      </x:c>
      <x:c r="J8" s="168" t="str">
        <x:v>Unassigned</x:v>
      </x:c>
      <x:c r="K8" s="168" t="str">
        <x:v>npm run lint on clean origin/main worktree</x:v>
      </x:c>
      <x:c r="L8" s="168" t="str">
        <x:v>New Guardian files are lint-clean.</x:v>
      </x:c>
    </x:row>
    <x:row r="9" ht="39.599998474121094" hidden="0" customHeight="1">
      <x:c r="A9" s="168" t="str">
        <x:v>G-003</x:v>
      </x:c>
      <x:c r="B9" s="168" t="str">
        <x:v>T-009</x:v>
      </x:c>
      <x:c r="C9" s="168" t="str">
        <x:v>Performance</x:v>
      </x:c>
      <x:c r="D9" s="168" t="str">
        <x:v>Production build emits multiple chunks over 500 kB, including a roughly 721 kB chunk.</x:v>
      </x:c>
      <x:c r="E9" s="168" t="str">
        <x:v>Large desktop downloads can increase cold-load and hydration time, especially on slower devices.</x:v>
      </x:c>
      <x:c r="F9" s="168" t="str">
        <x:v>Medium</x:v>
      </x:c>
      <x:c r="G9" s="168" t="str">
        <x:v>Measure route-level Web Vitals, then split the largest shared/payment/reporting chunks by user journey.</x:v>
      </x:c>
      <x:c r="H9" s="168" t="str">
        <x:v>Open</x:v>
      </x:c>
      <x:c r="I9" s="168"/>
      <x:c r="J9" s="168" t="str">
        <x:v>Unassigned</x:v>
      </x:c>
      <x:c r="K9" s="168" t="str">
        <x:v>npm run build output</x:v>
      </x:c>
      <x:c r="L9" s="168" t="str">
        <x:v>Treat measured user impact as the prioritization oracle.</x:v>
      </x:c>
    </x:row>
    <x:row r="10" ht="39.599998474121094" hidden="0" customHeight="1">
      <x:c r="A10" s="168" t="str">
        <x:v>G-004</x:v>
      </x:c>
      <x:c r="B10" s="168" t="str">
        <x:v>T-009</x:v>
      </x:c>
      <x:c r="C10" s="168" t="str">
        <x:v>Maintenance</x:v>
      </x:c>
      <x:c r="D10" s="168" t="str">
        <x:v>Browserslist/caniuse data is about 13 months old and the build reports a deprecated punycode dependency.</x:v>
      </x:c>
      <x:c r="E10" s="168" t="str">
        <x:v>Browser targeting and dependency warnings become less trustworthy over time.</x:v>
      </x:c>
      <x:c r="F10" s="168" t="str">
        <x:v>Low</x:v>
      </x:c>
      <x:c r="G10" s="168" t="str">
        <x:v>Refresh Browserslist data in a dedicated dependency PR and trace the punycode transitive owner before upgrading.</x:v>
      </x:c>
      <x:c r="H10" s="168" t="str">
        <x:v>Open</x:v>
      </x:c>
      <x:c r="I10" s="168"/>
      <x:c r="J10" s="168" t="str">
        <x:v>Unassigned</x:v>
      </x:c>
      <x:c r="K10" s="168" t="str">
        <x:v>Build and test output</x:v>
      </x:c>
      <x:c r="L10" s="168" t="str">
        <x:v>Avoid combining this with the Guardian feature branch.</x:v>
      </x:c>
    </x:row>
    <x:row r="11" ht="52.79999923706055" hidden="0" customHeight="1">
      <x:c r="A11" s="168" t="str">
        <x:v>G-005</x:v>
      </x:c>
      <x:c r="B11" s="168" t="str">
        <x:v>T-003</x:v>
      </x:c>
      <x:c r="C11" s="168" t="str">
        <x:v>Test Infrastructure</x:v>
      </x:c>
      <x:c r="D11" s="168" t="str">
        <x:v>No dedicated QA-tenant reset/cleanup contract exists for safe semantic write journeys.</x:v>
      </x:c>
      <x:c r="E11" s="168" t="str">
        <x:v>The Guardian can verify read-only production coherence but cannot safely prove create/send/payment outcomes semantically.</x:v>
      </x:c>
      <x:c r="F11" s="168" t="str">
        <x:v>High</x:v>
      </x:c>
      <x:c r="G11" s="168" t="str">
        <x:v>Add QA-only tenant reset, idempotency, provider allowlists, test merchant accounts, cleanup verification, and kill switch.</x:v>
      </x:c>
      <x:c r="H11" s="168" t="str">
        <x:v>Open</x:v>
      </x:c>
      <x:c r="I11" s="168"/>
      <x:c r="J11" s="168" t="str">
        <x:v>Unassigned</x:v>
      </x:c>
      <x:c r="K11" s="168" t="str">
        <x:v>/private/tmp/pestflow-desktop-qa-guardian/docs/qa-guardian.md</x:v>
      </x:c>
      <x:c r="L11" s="168" t="str">
        <x:v>Deterministic production suite already covers synthetic writes separately.</x:v>
      </x:c>
    </x:row>
    <x:row r="12" ht="39.599998474121094" hidden="0" customHeight="1">
      <x:c r="A12" s="168" t="str">
        <x:v>G-006</x:v>
      </x:c>
      <x:c r="B12" s="168" t="str">
        <x:v>T-004</x:v>
      </x:c>
      <x:c r="C12" s="168" t="str">
        <x:v>QA Operations</x:v>
      </x:c>
      <x:c r="D12" s="168" t="str">
        <x:v>GitHub artifact storage quota caused successful product tests to appear as failed workflows.</x:v>
      </x:c>
      <x:c r="E12" s="168" t="str">
        <x:v>False alarms waste repair cycles and erode trust in QA.</x:v>
      </x:c>
      <x:c r="F12" s="168" t="str">
        <x:v>High</x:v>
      </x:c>
      <x:c r="G12" s="168" t="str">
        <x:v>Keep uploads non-blocking, shorten retention, classify metadata/log evidence, and retain Browserbase replay independently.</x:v>
      </x:c>
      <x:c r="H12" s="168" t="str">
        <x:v>Mitigated</x:v>
      </x:c>
      <x:c r="I12" s="168" t="str">
        <x:v>T-004</x:v>
      </x:c>
      <x:c r="J12" s="168" t="str">
        <x:v>Codex</x:v>
      </x:c>
      <x:c r="K12" s="168" t="str">
        <x:v>Runs 29180099833, 29179936027, and successful PR run 29182844822</x:v>
      </x:c>
      <x:c r="L12" s="168" t="str">
        <x:v>Classifier tests preserve real product failures.</x:v>
      </x:c>
    </x:row>
    <x:row r="13" ht="39.599998474121094" hidden="0" customHeight="1">
      <x:c r="A13" s="168" t="str">
        <x:v>G-007</x:v>
      </x:c>
      <x:c r="B13" s="168" t="str">
        <x:v>T-011</x:v>
      </x:c>
      <x:c r="C13" s="168" t="str">
        <x:v>Release Process</x:v>
      </x:c>
      <x:c r="D13" s="168" t="str">
        <x:v>The reusable candidate gate is not yet called by the real staging deploy or required by branch protection.</x:v>
      </x:c>
      <x:c r="E13" s="168" t="str">
        <x:v>A good workflow file alone cannot stop an unvalidated promotion.</x:v>
      </x:c>
      <x:c r="F13" s="168" t="str">
        <x:v>Critical</x:v>
      </x:c>
      <x:c r="G13" s="168" t="str">
        <x:v>Live production and staging are each 2/4: DB/schema pass; service identity awaits this branch. Deploy an isolated candidate, rerun 4/4 with expected_sha, then connect promotion policy.</x:v>
      </x:c>
      <x:c r="H13" s="168" t="str">
        <x:v>Open</x:v>
      </x:c>
      <x:c r="I13" s="168" t="str">
        <x:v>T-011</x:v>
      </x:c>
      <x:c r="J13" s="168" t="str">
        <x:v>Trevor</x:v>
      </x:c>
      <x:c r="K13" s="168" t="str">
        <x:v>/private/tmp/pestflow-desktop-qa-guardian/.github/workflows/desktop-qa-release-gate.yml</x:v>
      </x:c>
      <x:c r="L13" s="168" t="str">
        <x:v>Do not substitute current-production testing for candidate testing.</x:v>
      </x:c>
    </x:row>
    <x:row r="14" ht="80" hidden="0" customHeight="1">
      <x:c r="A14" s="174" t="str">
        <x:v>G-008</x:v>
      </x:c>
      <x:c r="B14" s="174" t="str">
        <x:v>T-013</x:v>
      </x:c>
      <x:c r="C14" s="174" t="str">
        <x:v>Mobile Auth QA</x:v>
      </x:c>
      <x:c r="D14" s="174" t="str">
        <x:v>The Checkly mobile field email-signup check timed out at the auth-role screen.</x:v>
      </x:c>
      <x:c r="E14" s="174" t="str">
        <x:v>A real new mobile user may be unable to advance, or the check may be waiting on stale text; the current evidence does not yet distinguish product from test drift.</x:v>
      </x:c>
      <x:c r="F14" s="174" t="str">
        <x:v>High</x:v>
      </x:c>
      <x:c r="G14" s="174" t="str">
        <x:v>Rerun the isolated mobile signup check, inspect trace/screenshot state, reproduce at 390×844, then fix product or selector and keep permanent coverage.</x:v>
      </x:c>
      <x:c r="H14" s="174" t="str">
        <x:v>Resolved</x:v>
      </x:c>
      <x:c r="I14" s="174" t="str">
        <x:v>T-013</x:v>
      </x:c>
      <x:c r="J14" s="174" t="str">
        <x:v>Codex</x:v>
      </x:c>
      <x:c r="K14" s="174" t="str">
        <x:v>Run 29203535900; commit 325541d; PR #89</x:v>
      </x:c>
      <x:c r="L14" s="174" t="str">
        <x:v>Live signup passed. Assertion now checks only active auth screens, preventing dormant modal text from creating false alarms.</x:v>
      </x:c>
    </x:row>
    <x:row r="15" ht="86" hidden="0" customHeight="1">
      <x:c r="A15" s="174" t="str">
        <x:v>G-009</x:v>
      </x:c>
      <x:c r="B15" s="174" t="str">
        <x:v>T-003</x:v>
      </x:c>
      <x:c r="C15" s="174" t="str">
        <x:v>Desktop Performance QA</x:v>
      </x:c>
      <x:c r="D15" s="174" t="str">
        <x:v>Reports appeared to miss readiness during some cloud runs, but diagnostics showed the page rendered and an optional chained setup-goals modal hid its heading from the accessibility tree.</x:v>
      </x:c>
      <x:c r="E15" s="174" t="str">
        <x:v>False Reports alarms can waste repair time and hide whether the underlying route is actually unhealthy.</x:v>
      </x:c>
      <x:c r="F15" s="174" t="str">
        <x:v>High</x:v>
      </x:c>
      <x:c r="G15" s="174" t="str">
        <x:v>Use the bounded known-dialog settling state machine, retain route/resource diagnostics, and require exact-head cloud confirmation after runner access returns.</x:v>
      </x:c>
      <x:c r="H15" s="174" t="str">
        <x:v>Mitigated</x:v>
      </x:c>
      <x:c r="I15" s="174" t="str">
        <x:v>T-014</x:v>
      </x:c>
      <x:c r="J15" s="174" t="str">
        <x:v>Codex</x:v>
      </x:c>
      <x:c r="K15" s="174" t="str">
        <x:v>Runs 29205191769 and 29205363968; commit 4f6df89</x:v>
      </x:c>
      <x:c r="L15" s="174" t="str">
        <x:v>Root cause identified and fix pushed; final cloud proof is blocked by GitHub Actions billing, not a product assertion.</x:v>
      </x:c>
    </x:row>
    <x:row r="16" ht="92" customHeight="1">
      <x:c r="A16" s="174" t="str">
        <x:v>G-010</x:v>
      </x:c>
      <x:c r="B16" s="174" t="str">
        <x:v>T-011</x:v>
      </x:c>
      <x:c r="C16" s="174" t="str">
        <x:v>QA Operations</x:v>
      </x:c>
      <x:c r="D16" s="174" t="str">
        <x:v>GitHub Actions currently refuses all new jobs because the account reports failed payments or an exceeded spending limit.</x:v>
      </x:c>
      <x:c r="E16" s="174" t="str">
        <x:v>No new release-gate or Checkly cloud proof can execute, so an untested commit must not be promoted or called green.</x:v>
      </x:c>
      <x:c r="F16" s="174" t="str">
        <x:v>Critical</x:v>
      </x:c>
      <x:c r="G16" s="174" t="str">
        <x:v>Restore Actions billing/spending capacity, rerun the isolated owner and complete catalog at the exact head, then reconnect required promotion checks.</x:v>
      </x:c>
      <x:c r="H16" s="174" t="str">
        <x:v>Open</x:v>
      </x:c>
      <x:c r="I16" s="174" t="str">
        <x:v>T-011</x:v>
      </x:c>
      <x:c r="J16" s="174" t="str">
        <x:v>Trevor</x:v>
      </x:c>
      <x:c r="K16" s="174" t="str">
        <x:v>Runs 29205363968, 29205583408, 29206496145, and 29206513846; commit c68009f</x:v>
      </x:c>
      <x:c r="L16" s="174" t="str">
        <x:v>Classifier mitigation is now tested and pushed, but the runner itself remains unavailable until account billing/spending capacity is restored.</x:v>
      </x:c>
    </x:row>
    <x:row r="17" ht="94" customHeight="1">
      <x:c r="A17" s="174" t="str">
        <x:v>G-011</x:v>
      </x:c>
      <x:c r="B17" s="174" t="str">
        <x:v>T-009</x:v>
      </x:c>
      <x:c r="C17" s="174" t="str">
        <x:v>QA Infrastructure</x:v>
      </x:c>
      <x:c r="D17" s="174" t="str">
        <x:v>Local Playwright could silently reuse a Vite server from a different worktree when the default port was occupied.</x:v>
      </x:c>
      <x:c r="E17" s="174" t="str">
        <x:v>Tests could report false failures or false passes against the wrong candidate, corrupting release evidence.</x:v>
      </x:c>
      <x:c r="F17" s="174" t="str">
        <x:v>Critical</x:v>
      </x:c>
      <x:c r="G17" s="174" t="str">
        <x:v>Use a dedicated default port, strict-port startup, explicit reuse opt-in, and a policy test that prevents hard-coded reuseExistingServer=true.</x:v>
      </x:c>
      <x:c r="H17" s="174" t="str">
        <x:v>Resolved</x:v>
      </x:c>
      <x:c r="I17" s="174" t="str">
        <x:v>T-009</x:v>
      </x:c>
      <x:c r="J17" s="174" t="str">
        <x:v>Codex</x:v>
      </x:c>
      <x:c r="K17" s="174" t="str">
        <x:v>pestflow-growth-kit PID 2023 on port 5173; exact branch passed 193/193 on 5187</x:v>
      </x:c>
      <x:c r="L17" s="174" t="str">
        <x:v>Fixed in c68009f and verified with the foreign server still running.</x:v>
      </x:c>
    </x:row>
    <x:row r="18" ht="108" customHeight="1">
      <x:c r="A18" s="174" t="str">
        <x:v>G-012</x:v>
      </x:c>
      <x:c r="B18" s="174" t="str">
        <x:v>T-015</x:v>
      </x:c>
      <x:c r="C18" s="174" t="str">
        <x:v>QA Data Hygiene</x:v>
      </x:c>
      <x:c r="D18" s="174" t="str">
        <x:v>Earlier deterministic production runs may have left reserved-domain QA users, companies, and business records.</x:v>
      </x:c>
      <x:c r="E18" s="174" t="str">
        <x:v>Accumulated test data can distort production counts and weakens confidence that QA is isolated and repeatable.</x:v>
      </x:c>
      <x:c r="F18" s="174" t="str">
        <x:v>High</x:v>
      </x:c>
      <x:c r="G18" s="174" t="str">
        <x:v>Preview exact reserved-domain records with DB authority, obtain approval, delete transactionally, verify zero remaining, and retain audit evidence.</x:v>
      </x:c>
      <x:c r="H18" s="174" t="str">
        <x:v>Open</x:v>
      </x:c>
      <x:c r="I18" s="174" t="str">
        <x:v>T-015</x:v>
      </x:c>
      <x:c r="J18" s="174" t="str">
        <x:v>Unassigned</x:v>
      </x:c>
      <x:c r="K18" s="174" t="str">
        <x:v>Production read-only inventory 2026-07-12: 55 users, 22 companies, 66 sessions, 22 customers/jobs/invoices; addd1a6</x:v>
      </x:c>
      <x:c r="L18" s="174" t="str">
        <x:v>Scope is now quantified. Deletion remains blocked on explicit authority; new runs already self-clean 5/5.</x:v>
      </x:c>
    </x:row>
    <x:row r="19" ht="116" customHeight="1">
      <x:c r="A19" s="174" t="str">
        <x:v>G-013</x:v>
      </x:c>
      <x:c r="B19" s="174" t="str">
        <x:v>T-007</x:v>
      </x:c>
      <x:c r="C19" s="174" t="str">
        <x:v>Desktop Runtime</x:v>
      </x:c>
      <x:c r="D19" s="174" t="str">
        <x:v>SMS Contacts and Common Replies crash in current production because they omit the AppLayout title expected by the shared help center.</x:v>
      </x:c>
      <x:c r="E19" s="174" t="str">
        <x:v>Owners see an error boundary instead of messaging tools at every required desktop width.</x:v>
      </x:c>
      <x:c r="F19" s="174" t="str">
        <x:v>Critical</x:v>
      </x:c>
      <x:c r="G19" s="174" t="str">
        <x:v>Deploy the feature titles and defensive AppLayout/help-center contract, then prove both routes at three widths.</x:v>
      </x:c>
      <x:c r="H19" s="174" t="str">
        <x:v>Open</x:v>
      </x:c>
      <x:c r="I19" s="174" t="str">
        <x:v>T-016</x:v>
      </x:c>
      <x:c r="J19" s="174" t="str">
        <x:v>Trevor + Codex</x:v>
      </x:c>
      <x:c r="K19" s="174" t="str">
        <x:v>Branch fixed; 15/15 focused renders and 194/194 uncontended full suite pass at b10e176.</x:v>
      </x:c>
      <x:c r="L19" s="174" t="str">
        <x:v>Production certification pending deploy and 81/81 rerun.</x:v>
      </x:c>
    </x:row>
    <x:row r="20" ht="116" customHeight="1">
      <x:c r="A20" s="174" t="str">
        <x:v>G-014</x:v>
      </x:c>
      <x:c r="B20" s="174" t="str">
        <x:v>T-007</x:v>
      </x:c>
      <x:c r="C20" s="174" t="str">
        <x:v>Desktop API</x:v>
      </x:c>
      <x:c r="D20" s="174" t="str">
        <x:v>Settings GET /companies/branches returns 500 because the literal route is missing and /companies/:id interprets branches as a UUID.</x:v>
      </x:c>
      <x:c r="E20" s="174" t="str">
        <x:v>Branch management cannot load reliably and the production audit records a first-party server failure.</x:v>
      </x:c>
      <x:c r="F20" s="174" t="str">
        <x:v>Critical</x:v>
      </x:c>
      <x:c r="G20" s="174" t="str">
        <x:v>Deploy company-scoped branch CRUD routes before /:id and verify no Settings 5xx in the live matrix.</x:v>
      </x:c>
      <x:c r="H20" s="174" t="str">
        <x:v>Open</x:v>
      </x:c>
      <x:c r="I20" s="174" t="str">
        <x:v>T-016</x:v>
      </x:c>
      <x:c r="J20" s="174" t="str">
        <x:v>Trevor + Codex</x:v>
      </x:c>
      <x:c r="K20" s="174" t="str">
        <x:v>Live contract audit reproduces only this endpoint: 31/32 passed. Branch unit and lifecycle coverage are green at 7a8d746.</x:v>
      </x:c>
      <x:c r="L20" s="174" t="str">
        <x:v>Production certification pending deploy, 32/32 rerun, and exact-SHA oracle proof.</x:v>
      </x:c>
    </x:row>
    <x:row r="21" ht="116" customHeight="1">
      <x:c r="A21" s="174" t="str">
        <x:v>G-015</x:v>
      </x:c>
      <x:c r="B21" s="174" t="str">
        <x:v>T-007</x:v>
      </x:c>
      <x:c r="C21" s="174" t="str">
        <x:v>Desktop Accessibility</x:v>
      </x:c>
      <x:c r="D21" s="174" t="str">
        <x:v>The currently served Services screen does not expose the readiness heading required by its route contract.</x:v>
      </x:c>
      <x:c r="E21" s="174" t="str">
        <x:v>Users and assistive/browser automation lack a stable page identity; production fails this surface at all three widths.</x:v>
      </x:c>
      <x:c r="F21" s="174" t="str">
        <x:v>High</x:v>
      </x:c>
      <x:c r="G21" s="174" t="str">
        <x:v>Deploy the branch Services heading and keep the shared readiness catalog assertion.</x:v>
      </x:c>
      <x:c r="H21" s="174" t="str">
        <x:v>Open</x:v>
      </x:c>
      <x:c r="I21" s="174" t="str">
        <x:v>T-016</x:v>
      </x:c>
      <x:c r="J21" s="174" t="str">
        <x:v>Trevor + Codex</x:v>
      </x:c>
      <x:c r="K21" s="174" t="str">
        <x:v>Branch Services and Move-In Assistant renders pass at all three widths.</x:v>
      </x:c>
      <x:c r="L21" s="174" t="str">
        <x:v>Production certification pending deploy and 81/81 rerun.</x:v>
      </x:c>
    </x:row>
    <x:row r="22" ht="132" customHeight="1">
      <x:c r="A22" s="174" t="str">
        <x:v>G-016</x:v>
      </x:c>
      <x:c r="B22" s="174" t="str">
        <x:v>T-007</x:v>
      </x:c>
      <x:c r="C22" s="174" t="str">
        <x:v>Tenant Integrity / Security</x:v>
      </x:c>
      <x:c r="D22" s="174" t="str">
        <x:v>Current production accepts another company’s job, equipment, customer, or technician IDs when creating job-equipment usage and chemical application logs.</x:v>
      </x:c>
      <x:c r="E22" s="174" t="str">
        <x:v>A caller can corrupt operational and compliance history and may surface foreign joined names through otherwise company-scoped reads.</x:v>
      </x:c>
      <x:c r="F22" s="174" t="str">
        <x:v>Critical</x:v>
      </x:c>
      <x:c r="G22" s="174" t="str">
        <x:v>Deploy cad0544, require exact production 404/404 proof, and run a read-only mismatch count before considering any historical cleanup.</x:v>
      </x:c>
      <x:c r="H22" s="174" t="str">
        <x:v>Open</x:v>
      </x:c>
      <x:c r="I22" s="174" t="str">
        <x:v>T-016</x:v>
      </x:c>
      <x:c r="J22" s="174" t="str">
        <x:v>Trevor + Codex</x:v>
      </x:c>
      <x:c r="K22" s="174" t="str">
        <x:v>Production returned 200/200; branch focused tenant tests pass 6/6 and the full 775-test gate passes.</x:v>
      </x:c>
      <x:c r="L22" s="174" t="str">
        <x:v>Both discovery runs completed 5/5 synthetic-account cleanup. The repair remains red until the deployed candidate proves both prohibited writes are rejected.</x:v>
      </x:c>
    </x:row>
  </x:sheetData>
  <x:mergeCells>
    <x:mergeCell ref="A1:L1"/>
    <x:mergeCell ref="A2:L2"/>
  </x:mergeCells>
  <x:conditionalFormatting sqref="H6:H105">
    <x:cfRule type="containsText" dxfId="48" priority="1" operator="containsText" text="Done"/>
    <x:cfRule type="containsText" dxfId="49" priority="2" operator="containsText" text="Passed"/>
    <x:cfRule type="containsText" dxfId="50" priority="3" operator="containsText" text="In Progress"/>
    <x:cfRule type="containsText" dxfId="51" priority="4" operator="containsText" text="In Review"/>
    <x:cfRule type="containsText" dxfId="52" priority="5" operator="containsText" text="Blocked"/>
    <x:cfRule type="containsText" dxfId="53" priority="6" operator="containsText" text="Failed"/>
    <x:cfRule type="containsText" dxfId="54" priority="7" operator="containsText" text="Not Started"/>
    <x:cfRule type="containsText" dxfId="55" priority="8" operator="containsText" text="Pending"/>
  </x:conditionalFormatting>
  <x:dataValidations count="5">
    <x:dataValidation type="list" sqref="C6:C105">
      <x:formula1>"Product,Design,Accessibility,Performance,Content,Technical,Analytics,Security"</x:formula1>
    </x:dataValidation>
    <x:dataValidation type="list" sqref="F6:F105">
      <x:formula1>"Critical,High,Medium,Low"</x:formula1>
    </x:dataValidation>
    <x:dataValidation type="list" sqref="H6:H105">
      <x:formula1>"New,Triaged,Planned,In Progress,Closed,Won't Do"</x:formula1>
    </x:dataValidation>
    <x:dataValidation type="list" sqref="F6:F200">
      <x:formula1>"Low,Medium,High,Critical"</x:formula1>
    </x:dataValidation>
    <x:dataValidation type="list" sqref="H6:H200">
      <x:formula1>"Open,Planned,In Progress,Mitigated,Resolved,Closed"</x:formula1>
    </x:dataValidation>
  </x:dataValidations>
  <x:pageMargins left="0.7" right="0.7" top="0.75" bottom="0.75" header="0.3" footer="0.3"/>
  <x:tableParts count="1">
    <x:tablePart xmlns:r="http://schemas.openxmlformats.org/officeDocument/2006/relationships" r:id="R6bccadb115b6483d"/>
  </x:tableParts>
</x:worksheet>
</file>