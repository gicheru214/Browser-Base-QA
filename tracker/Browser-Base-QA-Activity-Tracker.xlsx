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16cf73add542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9e9273e57994242"/>
    <x:sheet xmlns:r="http://schemas.openxmlformats.org/officeDocument/2006/relationships" name="Task Tracker" sheetId="2" r:id="R83f79e67d2dd4d4d"/>
    <x:sheet xmlns:r="http://schemas.openxmlformats.org/officeDocument/2006/relationships" name="Activity Log" sheetId="3" r:id="Rb866cbb68ab44ea5"/>
    <x:sheet xmlns:r="http://schemas.openxmlformats.org/officeDocument/2006/relationships" name="QA Matrix" sheetId="4" r:id="R6cf6b1dee6b94bcf"/>
    <x:sheet xmlns:r="http://schemas.openxmlformats.org/officeDocument/2006/relationships" name="Product Gaps" sheetId="5" r:id="Rc5adc464d1f749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20">
    <x:font>
      <x:sz val="11"/>
      <x:name val="Carlito"/>
    </x:font>
    <x:font>
      <x:b/>
      <x:sz val="20"/>
      <x:color rgb="FFFFFFFF"/>
      <x:name val="Aptos Display"/>
    </x:font>
    <x:font>
      <x:sz val="10"/>
      <x:color rgb="FF344054"/>
      <x:name val="Aptos"/>
    </x:font>
    <x:font>
      <x:b/>
      <x:sz val="9"/>
      <x:color rgb="FF2563EB"/>
      <x:name val="Aptos"/>
    </x:font>
    <x:font>
      <x:b/>
      <x:sz val="22"/>
      <x:color rgb="FF2563EB"/>
      <x:name val="Aptos Display"/>
    </x:font>
    <x:font>
      <x:b/>
      <x:sz val="9"/>
      <x:color rgb="FF176B3A"/>
      <x:name val="Aptos"/>
    </x:font>
    <x:font>
      <x:b/>
      <x:sz val="22"/>
      <x:color rgb="FF176B3A"/>
      <x:name val="Aptos Display"/>
    </x:font>
    <x:font>
      <x:b/>
      <x:sz val="9"/>
      <x:color rgb="FF8A5A00"/>
      <x:name val="Aptos"/>
    </x:font>
    <x:font>
      <x:b/>
      <x:sz val="22"/>
      <x:color rgb="FF8A5A00"/>
      <x:name val="Aptos Display"/>
    </x:font>
    <x:font>
      <x:b/>
      <x:sz val="9"/>
      <x:color rgb="FFB42318"/>
      <x:name val="Aptos"/>
    </x:font>
    <x:font>
      <x:b/>
      <x:sz val="22"/>
      <x:color rgb="FFB42318"/>
      <x:name val="Aptos Display"/>
    </x:font>
    <x:font>
      <x:b/>
      <x:sz val="11"/>
      <x:color rgb="FFFFFFFF"/>
      <x:name val="Aptos"/>
    </x:font>
    <x:font>
      <x:sz val="10"/>
      <x:color rgb="FF243447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22"/>
      <x:color rgb="FF2563EB"/>
      <x:name val="Aptos"/>
    </x:font>
    <x:font>
      <x:b/>
      <x:sz val="22"/>
      <x:color rgb="FF176B3A"/>
      <x:name val="Aptos"/>
    </x:font>
    <x:font>
      <x:b/>
      <x:sz val="22"/>
      <x:color rgb="FF8A5A00"/>
      <x:name val="Aptos"/>
    </x:font>
    <x:font>
      <x:b/>
      <x:sz val="22"/>
      <x:color rgb="FFB42318"/>
      <x:name val="Aptos"/>
    </x:font>
    <x:font>
      <x:b/>
      <x:sz val="10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253D"/>
      </x:patternFill>
    </x:fill>
    <x:fill>
      <x:patternFill patternType="solid">
        <x:fgColor rgb="FFEAF2FF"/>
      </x:patternFill>
    </x:fill>
    <x:fill>
      <x:patternFill patternType="solid">
        <x:fgColor rgb="FFFFFFFF"/>
      </x:patternFill>
    </x:fill>
    <x:fill>
      <x:patternFill patternType="solid">
        <x:fgColor rgb="FFEAF7EE"/>
      </x:patternFill>
    </x:fill>
    <x:fill>
      <x:patternFill patternType="solid">
        <x:fgColor rgb="FFFFF6D8"/>
      </x:patternFill>
    </x:fill>
    <x:fill>
      <x:patternFill patternType="solid">
        <x:fgColor rgb="FFFDECEC"/>
      </x:patternFill>
    </x:fill>
    <x:fill>
      <x:patternFill patternType="solid">
        <x:fgColor rgb="FF0F766E"/>
      </x:patternFill>
    </x:fill>
    <x:fill>
      <x:patternFill patternType="solid">
        <x:fgColor rgb="FFFBFCFE"/>
      </x:patternFill>
    </x:fill>
  </x:fills>
  <x:borders count="15">
    <x:border/>
    <x:border>
      <x:left style="thin">
        <x:color rgb="FFD9E0E7"/>
      </x:left>
      <x:top style="thin">
        <x:color rgb="FFD9E0E7"/>
      </x:top>
      <x:bottom style="thin">
        <x:color rgb="FFD9E0E7"/>
      </x:bottom>
    </x:border>
    <x:border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top style="thin">
        <x:color rgb="FFD9E0E7"/>
      </x:top>
    </x:border>
    <x:border>
      <x:right style="thin">
        <x:color rgb="FFD9E0E7"/>
      </x:right>
      <x:top style="thin">
        <x:color rgb="FFD9E0E7"/>
      </x:top>
    </x:border>
    <x:border>
      <x:left style="thin">
        <x:color rgb="FFD9E0E7"/>
      </x:left>
      <x:bottom style="thin">
        <x:color rgb="FFD9E0E7"/>
      </x:bottom>
    </x:border>
    <x:border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</x:border>
    <x:border>
      <x:top style="thin">
        <x:color rgb="FFD9E0E7"/>
      </x:top>
    </x:border>
    <x:border>
      <x:left style="thin">
        <x:color rgb="FFD9E0E7"/>
      </x:left>
    </x:border>
    <x:border>
      <x:right style="thin">
        <x:color rgb="FFD9E0E7"/>
      </x:right>
    </x:border>
    <x:border>
      <x:bottom style="thin">
        <x:color rgb="FFD9E0E7"/>
      </x:bottom>
    </x:border>
    <x:border>
      <x:top style="thin">
        <x:color rgb="FFD9E0E7"/>
      </x:top>
      <x:bottom style="thin">
        <x:color rgb="FFD9E0E7"/>
      </x:bottom>
    </x:border>
  </x:borders>
  <x:cellStyleXfs count="1">
    <x:xf numFmtId="0" fontId="0" fillId="0" borderId="0"/>
  </x:cellStyleXfs>
  <x:cellXfs count="1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3" xfId="0" applyNumberFormat="1" applyFont="1" applyFill="1" applyBorder="1"/>
    <x:xf numFmtId="200" fontId="4" fillId="4" borderId="4" xfId="0" applyNumberFormat="1" applyFont="1" applyFill="1" applyBorder="1"/>
    <x:xf numFmtId="200" fontId="4" fillId="4" borderId="5" xfId="0" applyNumberFormat="1" applyFont="1" applyFill="1" applyBorder="1"/>
    <x:xf numFmtId="200" fontId="4" fillId="4" borderId="6" xfId="0" applyNumberFormat="1" applyFont="1" applyFill="1" applyBorder="1"/>
    <x:xf numFmtId="200" fontId="4" fillId="4" borderId="3" xfId="0" applyNumberFormat="1" applyFont="1" applyFill="1" applyBorder="1" applyAlignment="1">
      <x:alignment horizontal="center"/>
    </x:xf>
    <x:xf numFmtId="200" fontId="4" fillId="4" borderId="4" xfId="0" applyNumberFormat="1" applyFont="1" applyFill="1" applyBorder="1" applyAlignment="1">
      <x:alignment horizontal="center"/>
    </x:xf>
    <x:xf numFmtId="200" fontId="4" fillId="4" borderId="5" xfId="0" applyNumberFormat="1" applyFont="1" applyFill="1" applyBorder="1" applyAlignment="1">
      <x:alignment horizontal="center"/>
    </x:xf>
    <x:xf numFmtId="200" fontId="4" fillId="4" borderId="6" xfId="0" applyNumberFormat="1" applyFont="1" applyFill="1" applyBorder="1" applyAlignment="1">
      <x:alignment horizontal="center"/>
    </x:xf>
    <x:xf numFmtId="200" fontId="4" fillId="4" borderId="3" xfId="0" applyNumberFormat="1" applyFont="1" applyFill="1" applyBorder="1" applyAlignment="1">
      <x:alignment horizontal="center" vertical="center"/>
    </x:xf>
    <x:xf numFmtId="200" fontId="4" fillId="4" borderId="4" xfId="0" applyNumberFormat="1" applyFont="1" applyFill="1" applyBorder="1" applyAlignment="1">
      <x:alignment horizontal="center" vertical="center"/>
    </x:xf>
    <x:xf numFmtId="200" fontId="4" fillId="4" borderId="5" xfId="0" applyNumberFormat="1" applyFont="1" applyFill="1" applyBorder="1" applyAlignment="1">
      <x:alignment horizontal="center" vertical="center"/>
    </x:xf>
    <x:xf numFmtId="200" fontId="4" fillId="4" borderId="6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200" fontId="6" fillId="4" borderId="3" xfId="0" applyNumberFormat="1" applyFont="1" applyFill="1" applyBorder="1"/>
    <x:xf numFmtId="200" fontId="6" fillId="4" borderId="4" xfId="0" applyNumberFormat="1" applyFont="1" applyFill="1" applyBorder="1"/>
    <x:xf numFmtId="200" fontId="6" fillId="4" borderId="5" xfId="0" applyNumberFormat="1" applyFont="1" applyFill="1" applyBorder="1"/>
    <x:xf numFmtId="200" fontId="6" fillId="4" borderId="6" xfId="0" applyNumberFormat="1" applyFont="1" applyFill="1" applyBorder="1"/>
    <x:xf numFmtId="200" fontId="6" fillId="4" borderId="3" xfId="0" applyNumberFormat="1" applyFont="1" applyFill="1" applyBorder="1" applyAlignment="1">
      <x:alignment horizontal="center"/>
    </x:xf>
    <x:xf numFmtId="200" fontId="6" fillId="4" borderId="4" xfId="0" applyNumberFormat="1" applyFont="1" applyFill="1" applyBorder="1" applyAlignment="1">
      <x:alignment horizontal="center"/>
    </x:xf>
    <x:xf numFmtId="200" fontId="6" fillId="4" borderId="5" xfId="0" applyNumberFormat="1" applyFont="1" applyFill="1" applyBorder="1" applyAlignment="1">
      <x:alignment horizontal="center"/>
    </x:xf>
    <x:xf numFmtId="200" fontId="6" fillId="4" borderId="6" xfId="0" applyNumberFormat="1" applyFont="1" applyFill="1" applyBorder="1" applyAlignment="1">
      <x:alignment horizontal="center"/>
    </x:xf>
    <x:xf numFmtId="200" fontId="6" fillId="4" borderId="3" xfId="0" applyNumberFormat="1" applyFont="1" applyFill="1" applyBorder="1" applyAlignment="1">
      <x:alignment horizontal="center" vertical="center"/>
    </x:xf>
    <x:xf numFmtId="200" fontId="6" fillId="4" borderId="4" xfId="0" applyNumberFormat="1" applyFont="1" applyFill="1" applyBorder="1" applyAlignment="1">
      <x:alignment horizontal="center" vertical="center"/>
    </x:xf>
    <x:xf numFmtId="200" fontId="6" fillId="4" borderId="5" xfId="0" applyNumberFormat="1" applyFont="1" applyFill="1" applyBorder="1" applyAlignment="1">
      <x:alignment horizontal="center" vertical="center"/>
    </x:xf>
    <x:xf numFmtId="200" fontId="6" fillId="4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2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7" fillId="6" borderId="2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200" fontId="8" fillId="4" borderId="3" xfId="0" applyNumberFormat="1" applyFont="1" applyFill="1" applyBorder="1"/>
    <x:xf numFmtId="200" fontId="8" fillId="4" borderId="4" xfId="0" applyNumberFormat="1" applyFont="1" applyFill="1" applyBorder="1"/>
    <x:xf numFmtId="200" fontId="8" fillId="4" borderId="5" xfId="0" applyNumberFormat="1" applyFont="1" applyFill="1" applyBorder="1"/>
    <x:xf numFmtId="200" fontId="8" fillId="4" borderId="6" xfId="0" applyNumberFormat="1" applyFont="1" applyFill="1" applyBorder="1"/>
    <x:xf numFmtId="200" fontId="8" fillId="4" borderId="3" xfId="0" applyNumberFormat="1" applyFont="1" applyFill="1" applyBorder="1" applyAlignment="1">
      <x:alignment horizontal="center"/>
    </x:xf>
    <x:xf numFmtId="200" fontId="8" fillId="4" borderId="4" xfId="0" applyNumberFormat="1" applyFont="1" applyFill="1" applyBorder="1" applyAlignment="1">
      <x:alignment horizontal="center"/>
    </x:xf>
    <x:xf numFmtId="200" fontId="8" fillId="4" borderId="5" xfId="0" applyNumberFormat="1" applyFont="1" applyFill="1" applyBorder="1" applyAlignment="1">
      <x:alignment horizontal="center"/>
    </x:xf>
    <x:xf numFmtId="200" fontId="8" fillId="4" borderId="6" xfId="0" applyNumberFormat="1" applyFont="1" applyFill="1" applyBorder="1" applyAlignment="1">
      <x:alignment horizontal="center"/>
    </x:xf>
    <x:xf numFmtId="200" fontId="8" fillId="4" borderId="3" xfId="0" applyNumberFormat="1" applyFont="1" applyFill="1" applyBorder="1" applyAlignment="1">
      <x:alignment horizontal="center" vertical="center"/>
    </x:xf>
    <x:xf numFmtId="200" fontId="8" fillId="4" borderId="4" xfId="0" applyNumberFormat="1" applyFont="1" applyFill="1" applyBorder="1" applyAlignment="1">
      <x:alignment horizontal="center" vertical="center"/>
    </x:xf>
    <x:xf numFmtId="200" fontId="8" fillId="4" borderId="5" xfId="0" applyNumberFormat="1" applyFont="1" applyFill="1" applyBorder="1" applyAlignment="1">
      <x:alignment horizontal="center" vertical="center"/>
    </x:xf>
    <x:xf numFmtId="200" fontId="8" fillId="4" borderId="6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9" fillId="7" borderId="2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3" xfId="0" applyNumberFormat="1" applyFont="1" applyFill="1" applyBorder="1"/>
    <x:xf numFmtId="0" fontId="10" fillId="4" borderId="4" xfId="0" applyNumberFormat="1" applyFont="1" applyFill="1" applyBorder="1"/>
    <x:xf numFmtId="0" fontId="10" fillId="4" borderId="5" xfId="0" applyNumberFormat="1" applyFont="1" applyFill="1" applyBorder="1"/>
    <x:xf numFmtId="0" fontId="10" fillId="4" borderId="6" xfId="0" applyNumberFormat="1" applyFont="1" applyFill="1" applyBorder="1"/>
    <x:xf numFmtId="200" fontId="10" fillId="4" borderId="3" xfId="0" applyNumberFormat="1" applyFont="1" applyFill="1" applyBorder="1"/>
    <x:xf numFmtId="200" fontId="10" fillId="4" borderId="4" xfId="0" applyNumberFormat="1" applyFont="1" applyFill="1" applyBorder="1"/>
    <x:xf numFmtId="200" fontId="10" fillId="4" borderId="5" xfId="0" applyNumberFormat="1" applyFont="1" applyFill="1" applyBorder="1"/>
    <x:xf numFmtId="200" fontId="10" fillId="4" borderId="6" xfId="0" applyNumberFormat="1" applyFont="1" applyFill="1" applyBorder="1"/>
    <x:xf numFmtId="200" fontId="10" fillId="4" borderId="3" xfId="0" applyNumberFormat="1" applyFont="1" applyFill="1" applyBorder="1" applyAlignment="1">
      <x:alignment horizontal="center"/>
    </x:xf>
    <x:xf numFmtId="200" fontId="10" fillId="4" borderId="4" xfId="0" applyNumberFormat="1" applyFont="1" applyFill="1" applyBorder="1" applyAlignment="1">
      <x:alignment horizontal="center"/>
    </x:xf>
    <x:xf numFmtId="200" fontId="10" fillId="4" borderId="5" xfId="0" applyNumberFormat="1" applyFont="1" applyFill="1" applyBorder="1" applyAlignment="1">
      <x:alignment horizontal="center"/>
    </x:xf>
    <x:xf numFmtId="200" fontId="10" fillId="4" borderId="6" xfId="0" applyNumberFormat="1" applyFont="1" applyFill="1" applyBorder="1" applyAlignment="1">
      <x:alignment horizontal="center"/>
    </x:xf>
    <x:xf numFmtId="200" fontId="10" fillId="4" borderId="3" xfId="0" applyNumberFormat="1" applyFont="1" applyFill="1" applyBorder="1" applyAlignment="1">
      <x:alignment horizontal="center" vertical="center"/>
    </x:xf>
    <x:xf numFmtId="200" fontId="10" fillId="4" borderId="4" xfId="0" applyNumberFormat="1" applyFont="1" applyFill="1" applyBorder="1" applyAlignment="1">
      <x:alignment horizontal="center" vertical="center"/>
    </x:xf>
    <x:xf numFmtId="200" fontId="10" fillId="4" borderId="5" xfId="0" applyNumberFormat="1" applyFont="1" applyFill="1" applyBorder="1" applyAlignment="1">
      <x:alignment horizontal="center" vertical="center"/>
    </x:xf>
    <x:xf numFmtId="200" fontId="10" fillId="4" borderId="6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12" fillId="9" borderId="0" xfId="0" applyNumberFormat="1" applyFont="1" applyFill="1" applyBorder="1" applyAlignment="1">
      <x:alignment vertical="top" wrapText="1"/>
    </x:xf>
    <x:xf numFmtId="0" fontId="12" fillId="9" borderId="3" xfId="0" applyNumberFormat="1" applyFont="1" applyFill="1" applyBorder="1" applyAlignment="1">
      <x:alignment vertical="top" wrapText="1"/>
    </x:xf>
    <x:xf numFmtId="0" fontId="12" fillId="9" borderId="10" xfId="0" applyNumberFormat="1" applyFont="1" applyFill="1" applyBorder="1" applyAlignment="1">
      <x:alignment vertical="top" wrapText="1"/>
    </x:xf>
    <x:xf numFmtId="0" fontId="12" fillId="9" borderId="4" xfId="0" applyNumberFormat="1" applyFont="1" applyFill="1" applyBorder="1" applyAlignment="1">
      <x:alignment vertical="top" wrapText="1"/>
    </x:xf>
    <x:xf numFmtId="0" fontId="12" fillId="9" borderId="11" xfId="0" applyNumberFormat="1" applyFont="1" applyFill="1" applyBorder="1" applyAlignment="1">
      <x:alignment vertical="top" wrapText="1"/>
    </x:xf>
    <x:xf numFmtId="0" fontId="12" fillId="9" borderId="12" xfId="0" applyNumberFormat="1" applyFont="1" applyFill="1" applyBorder="1" applyAlignment="1">
      <x:alignment vertical="top" wrapText="1"/>
    </x:xf>
    <x:xf numFmtId="0" fontId="12" fillId="9" borderId="5" xfId="0" applyNumberFormat="1" applyFont="1" applyFill="1" applyBorder="1" applyAlignment="1">
      <x:alignment vertical="top" wrapText="1"/>
    </x:xf>
    <x:xf numFmtId="0" fontId="12" fillId="9" borderId="13" xfId="0" applyNumberFormat="1" applyFont="1" applyFill="1" applyBorder="1" applyAlignment="1">
      <x:alignment vertical="top" wrapText="1"/>
    </x:xf>
    <x:xf numFmtId="0" fontId="12" fillId="9" borderId="6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200" fontId="15" fillId="4" borderId="3" xfId="0" applyNumberFormat="1" applyFont="1" applyFill="1" applyBorder="1" applyAlignment="1">
      <x:alignment horizontal="center" vertical="center"/>
    </x:xf>
    <x:xf numFmtId="200" fontId="15" fillId="4" borderId="4" xfId="0" applyNumberFormat="1" applyFont="1" applyFill="1" applyBorder="1" applyAlignment="1">
      <x:alignment horizontal="center" vertical="center"/>
    </x:xf>
    <x:xf numFmtId="200" fontId="16" fillId="4" borderId="3" xfId="0" applyNumberFormat="1" applyFont="1" applyFill="1" applyBorder="1" applyAlignment="1">
      <x:alignment horizontal="center" vertical="center"/>
    </x:xf>
    <x:xf numFmtId="200" fontId="16" fillId="4" borderId="4" xfId="0" applyNumberFormat="1" applyFont="1" applyFill="1" applyBorder="1" applyAlignment="1">
      <x:alignment horizontal="center" vertical="center"/>
    </x:xf>
    <x:xf numFmtId="200" fontId="17" fillId="4" borderId="3" xfId="0" applyNumberFormat="1" applyFont="1" applyFill="1" applyBorder="1" applyAlignment="1">
      <x:alignment horizontal="center" vertical="center"/>
    </x:xf>
    <x:xf numFmtId="200" fontId="17" fillId="4" borderId="4" xfId="0" applyNumberFormat="1" applyFont="1" applyFill="1" applyBorder="1" applyAlignment="1">
      <x:alignment horizontal="center" vertical="center"/>
    </x:xf>
    <x:xf numFmtId="200" fontId="18" fillId="4" borderId="3" xfId="0" applyNumberFormat="1" applyFont="1" applyFill="1" applyBorder="1" applyAlignment="1">
      <x:alignment horizontal="center" vertical="center"/>
    </x:xf>
    <x:xf numFmtId="200" fontId="18" fillId="4" borderId="4" xfId="0" applyNumberFormat="1" applyFont="1" applyFill="1" applyBorder="1" applyAlignment="1">
      <x:alignment horizontal="center" vertical="center"/>
    </x:xf>
    <x:xf numFmtId="200" fontId="15" fillId="4" borderId="5" xfId="0" applyNumberFormat="1" applyFont="1" applyFill="1" applyBorder="1" applyAlignment="1">
      <x:alignment horizontal="center" vertical="center"/>
    </x:xf>
    <x:xf numFmtId="200" fontId="15" fillId="4" borderId="6" xfId="0" applyNumberFormat="1" applyFont="1" applyFill="1" applyBorder="1" applyAlignment="1">
      <x:alignment horizontal="center" vertical="center"/>
    </x:xf>
    <x:xf numFmtId="200" fontId="16" fillId="4" borderId="5" xfId="0" applyNumberFormat="1" applyFont="1" applyFill="1" applyBorder="1" applyAlignment="1">
      <x:alignment horizontal="center" vertical="center"/>
    </x:xf>
    <x:xf numFmtId="200" fontId="16" fillId="4" borderId="6" xfId="0" applyNumberFormat="1" applyFont="1" applyFill="1" applyBorder="1" applyAlignment="1">
      <x:alignment horizontal="center" vertical="center"/>
    </x:xf>
    <x:xf numFmtId="200" fontId="17" fillId="4" borderId="5" xfId="0" applyNumberFormat="1" applyFont="1" applyFill="1" applyBorder="1" applyAlignment="1">
      <x:alignment horizontal="center" vertical="center"/>
    </x:xf>
    <x:xf numFmtId="200" fontId="17" fillId="4" borderId="6" xfId="0" applyNumberFormat="1" applyFont="1" applyFill="1" applyBorder="1" applyAlignment="1">
      <x:alignment horizontal="center" vertical="center"/>
    </x:xf>
    <x:xf numFmtId="200" fontId="18" fillId="4" borderId="5" xfId="0" applyNumberFormat="1" applyFont="1" applyFill="1" applyBorder="1" applyAlignment="1">
      <x:alignment horizontal="center" vertical="center"/>
    </x:xf>
    <x:xf numFmtId="200" fontId="18" fillId="4" borderId="6" xfId="0" applyNumberFormat="1" applyFont="1" applyFill="1" applyBorder="1" applyAlignment="1">
      <x:alignment horizontal="center" vertical="center"/>
    </x:xf>
    <x:xf numFmtId="0" fontId="19" fillId="2" borderId="0" xfId="0" applyNumberFormat="1" applyFont="1" applyFill="1" applyBorder="1"/>
    <x:xf numFmtId="0" fontId="19" fillId="2" borderId="1" xfId="0" applyNumberFormat="1" applyFont="1" applyFill="1" applyBorder="1"/>
    <x:xf numFmtId="0" fontId="19" fillId="2" borderId="14" xfId="0" applyNumberFormat="1" applyFont="1" applyFill="1" applyBorder="1"/>
    <x:xf numFmtId="0" fontId="19" fillId="2" borderId="2" xfId="0" applyNumberFormat="1" applyFont="1" applyFill="1" applyBorder="1"/>
    <x:xf numFmtId="0" fontId="19" fillId="2" borderId="1" xfId="0" applyNumberFormat="1" applyFont="1" applyFill="1" applyBorder="1" applyAlignment="1">
      <x:alignment wrapText="1"/>
    </x:xf>
    <x:xf numFmtId="0" fontId="19" fillId="2" borderId="14" xfId="0" applyNumberFormat="1" applyFont="1" applyFill="1" applyBorder="1" applyAlignment="1">
      <x:alignment wrapText="1"/>
    </x:xf>
    <x:xf numFmtId="0" fontId="19" fillId="2" borderId="2" xfId="0" applyNumberFormat="1" applyFont="1" applyFill="1" applyBorder="1" applyAlignment="1">
      <x:alignment wrapText="1"/>
    </x:xf>
    <x:xf numFmtId="0" fontId="19" fillId="2" borderId="1" xfId="0" applyNumberFormat="1" applyFont="1" applyFill="1" applyBorder="1" applyAlignment="1">
      <x:alignment horizontal="left" wrapText="1"/>
    </x:xf>
    <x:xf numFmtId="0" fontId="19" fillId="2" borderId="14" xfId="0" applyNumberFormat="1" applyFont="1" applyFill="1" applyBorder="1" applyAlignment="1">
      <x:alignment horizontal="left" wrapText="1"/>
    </x:xf>
    <x:xf numFmtId="0" fontId="19" fillId="2" borderId="2" xfId="0" applyNumberFormat="1" applyFont="1" applyFill="1" applyBorder="1" applyAlignment="1">
      <x:alignment horizontal="left" wrapText="1"/>
    </x:xf>
    <x:xf numFmtId="0" fontId="19" fillId="2" borderId="1" xfId="0" applyNumberFormat="1" applyFont="1" applyFill="1" applyBorder="1" applyAlignment="1">
      <x:alignment horizontal="left" vertical="center" wrapText="1"/>
    </x:xf>
    <x:xf numFmtId="0" fontId="19" fillId="2" borderId="14" xfId="0" applyNumberFormat="1" applyFont="1" applyFill="1" applyBorder="1" applyAlignment="1">
      <x:alignment horizontal="left" vertical="center" wrapText="1"/>
    </x:xf>
    <x:xf numFmtId="0" fontId="19" fillId="2" borderId="2" xfId="0" applyNumberFormat="1" applyFont="1" applyFill="1" applyBorder="1" applyAlignment="1">
      <x:alignment horizontal="left" vertical="center" wrapText="1"/>
    </x:xf>
    <x:xf numFmtId="201" fontId="1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202" fontId="14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6"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eba5442af94996" /><Relationship Type="http://schemas.openxmlformats.org/officeDocument/2006/relationships/theme" Target="/xl/theme/theme1.xml" Id="R0dd2f913c7214c6c" /><Relationship Type="http://schemas.openxmlformats.org/officeDocument/2006/relationships/sharedStrings" Target="/xl/sharedStrings.xml" Id="Rd9a44a7bd26c4154" /><Relationship Type="http://schemas.openxmlformats.org/officeDocument/2006/relationships/worksheet" Target="/xl/worksheets/sheet1.xml" Id="R59e9273e57994242" /><Relationship Type="http://schemas.openxmlformats.org/officeDocument/2006/relationships/worksheet" Target="/xl/worksheets/sheet2.xml" Id="R83f79e67d2dd4d4d" /><Relationship Type="http://schemas.openxmlformats.org/officeDocument/2006/relationships/worksheet" Target="/xl/worksheets/sheet3.xml" Id="Rb866cbb68ab44ea5" /><Relationship Type="http://schemas.openxmlformats.org/officeDocument/2006/relationships/worksheet" Target="/xl/worksheets/sheet4.xml" Id="R6cf6b1dee6b94bcf" /><Relationship Type="http://schemas.openxmlformats.org/officeDocument/2006/relationships/worksheet" Target="/xl/worksheets/sheet5.xml" Id="Rc5adc464d1f74918" /></Relationships>
</file>

<file path=xl/tables/table1.xml><?xml version="1.0" encoding="utf-8"?>
<x:table xmlns:x="http://schemas.openxmlformats.org/spreadsheetml/2006/main" id="1" name="TaskTrackerTable" displayName="TaskTrackerTable" ref="A5:Q21" headerRowCount="1" totalsRowCount="0" totalsRowShown="0">
  <x:tableColumns count="17">
    <x:tableColumn id="1" name="Task ID"/>
    <x:tableColumn id="2" name="Phase"/>
    <x:tableColumn id="3" name="Goal / Task"/>
    <x:tableColumn id="4" name="Acceptance Criteria"/>
    <x:tableColumn id="5" name="Status"/>
    <x:tableColumn id="6" name="Priority"/>
    <x:tableColumn id="7" name="Owner"/>
    <x:tableColumn id="8" name="Validation Plan"/>
    <x:tableColumn id="9" name="Computer Use"/>
    <x:tableColumn id="10" name="Simulator"/>
    <x:tableColumn id="11" name="Browser"/>
    <x:tableColumn id="12" name="Device Sizes"/>
    <x:tableColumn id="13" name="Evidence / Links"/>
    <x:tableColumn id="14" name="Commit / Push"/>
    <x:tableColumn id="15" name="Blockers"/>
    <x:tableColumn id="16" name="Notes"/>
    <x:tableColumn id="1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ityLogTable" displayName="ActivityLogTable" ref="A5:N99" headerRowCount="1" totalsRowCount="0" totalsRowShown="0">
  <x:tableColumns count="14">
    <x:tableColumn id="1" name="Log ID"/>
    <x:tableColumn id="2" name="Timestamp"/>
    <x:tableColumn id="3" name="Task ID"/>
    <x:tableColumn id="4" name="Goal / Step"/>
    <x:tableColumn id="5" name="Action Taken"/>
    <x:tableColumn id="6" name="Surface / Tool"/>
    <x:tableColumn id="7" name="Result"/>
    <x:tableColumn id="8" name="Validation Performed"/>
    <x:tableColumn id="9" name="Device / Viewport"/>
    <x:tableColumn id="10" name="Evidence / Link"/>
    <x:tableColumn id="11" name="Commit / Push"/>
    <x:tableColumn id="12" name="Next Step"/>
    <x:tableColumn id="13" name="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MatrixTable" displayName="QAMatrixTable" ref="A5:K89" headerRowCount="1" totalsRowCount="0" totalsRowShown="0">
  <x:tableColumns count="11">
    <x:tableColumn id="1" name="QA ID"/>
    <x:tableColumn id="2" name="Device Class"/>
    <x:tableColumn id="3" name="Device / Profile"/>
    <x:tableColumn id="4" name="Viewport"/>
    <x:tableColumn id="5" name="Browser / Platform"/>
    <x:tableColumn id="6" name="Required"/>
    <x:tableColumn id="7" name="Task ID"/>
    <x:tableColumn id="8" name="Status"/>
    <x:tableColumn id="9" name="Checked At"/>
    <x:tableColumn id="10" name="Evidence"/>
    <x:tableColumn id="1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GapsTable" displayName="ProductGapsTable" ref="A5:L21" headerRowCount="1" totalsRowCount="0" totalsRowShown="0">
  <x:tableColumns count="12">
    <x:tableColumn id="1" name="Gap ID"/>
    <x:tableColumn id="2" name="Found During Task"/>
    <x:tableColumn id="3" name="Type"/>
    <x:tableColumn id="4" name="Description"/>
    <x:tableColumn id="5" name="User Impact"/>
    <x:tableColumn id="6" name="Severity"/>
    <x:tableColumn id="7" name="Recommendation"/>
    <x:tableColumn id="8" name="Status"/>
    <x:tableColumn id="9" name="Added as Task ID"/>
    <x:tableColumn id="10" name="Owner"/>
    <x:tableColumn id="11" name="Evidenc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049563ae474e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e5746b46114b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5d9ecc38d9a46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80f6b7dc1ee47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132" t="str">
        <x:v>PestFlow Desktop QA Guardian — Execution Tracker</x:v>
      </x:c>
      <x:c r="B1" s="132" t="str">
        <x:v>Browser Base QA — Project Execution Tracker</x:v>
      </x:c>
      <x:c r="C1" s="132" t="str">
        <x:v>Browser Base QA — Project Execution Tracker</x:v>
      </x:c>
      <x:c r="D1" s="132" t="str">
        <x:v>Browser Base QA — Project Execution Tracker</x:v>
      </x:c>
      <x:c r="E1" s="132" t="str">
        <x:v>Browser Base QA — Project Execution Tracker</x:v>
      </x:c>
      <x:c r="F1" s="132" t="str">
        <x:v>Browser Base QA — Project Execution Tracker</x:v>
      </x:c>
      <x:c r="G1" s="132" t="str">
        <x:v>Browser Base QA — Project Execution Tracker</x:v>
      </x:c>
      <x:c r="H1" s="132" t="str">
        <x:v>Browser Base QA — Project Execution Tracker</x:v>
      </x:c>
    </x:row>
    <x:row r="2" ht="32" customHeight="1">
      <x:c r="A2" s="7" t="str">
        <x:v>Live project tracker for the Browserbase + Stagehand QA system. It records implementation, production verification, failure classification, device coverage, evidence, blockers, and future quality work.</x:v>
      </x:c>
      <x:c r="B2" s="7" t="str">
        <x:v>Preview-only workbook. Use this file to plan tasks, document each meaningful step, validate across tools and device sizes, record evidence, and capture product or design gaps before and during delivery.</x:v>
      </x:c>
      <x:c r="C2" s="7" t="str">
        <x:v>Preview-only workbook. Use this file to plan tasks, document each meaningful step, validate across tools and device sizes, record evidence, and capture product or design gaps before and during delivery.</x:v>
      </x:c>
      <x:c r="D2" s="7" t="str">
        <x:v>Preview-only workbook. Use this file to plan tasks, document each meaningful step, validate across tools and device sizes, record evidence, and capture product or design gaps before and during delivery.</x:v>
      </x:c>
      <x:c r="E2" s="7" t="str">
        <x:v>Preview-only workbook. Use this file to plan tasks, document each meaningful step, validate across tools and device sizes, record evidence, and capture product or design gaps before and during delivery.</x:v>
      </x:c>
      <x:c r="F2" s="7" t="str">
        <x:v>Preview-only workbook. Use this file to plan tasks, document each meaningful step, validate across tools and device sizes, record evidence, and capture product or design gaps before and during delivery.</x:v>
      </x:c>
      <x:c r="G2" s="7" t="str">
        <x:v>Preview-only workbook. Use this file to plan tasks, document each meaningful step, validate across tools and device sizes, record evidence, and capture product or design gaps before and during delivery.</x:v>
      </x:c>
      <x:c r="H2" s="7" t="str">
        <x:v>Preview-only workbook. Use this file to plan tasks, document each meaningful step, validate across tools and device sizes, record evidence, and capture product or design gaps before and during delivery.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</x:row>
    <x:row r="4">
      <x:c r="A4" s="13" t="str">
        <x:v>TOTAL TASKS</x:v>
      </x:c>
      <x:c r="B4" s="14" t="str">
        <x:v>TOTAL TASKS</x:v>
      </x:c>
      <x:c r="C4" s="39" t="str">
        <x:v>DONE</x:v>
      </x:c>
      <x:c r="D4" s="40" t="str">
        <x:v>DONE</x:v>
      </x:c>
      <x:c r="E4" s="64" t="str">
        <x:v>IN PROGRESS</x:v>
      </x:c>
      <x:c r="F4" s="65" t="str">
        <x:v>IN PROGRESS</x:v>
      </x:c>
      <x:c r="G4" s="89" t="str">
        <x:v>BLOCKED</x:v>
      </x:c>
      <x:c r="H4" s="90" t="str">
        <x:v>BLOCKED</x:v>
      </x:c>
    </x:row>
    <x:row r="5">
      <x:c r="A5" s="134" t="n">
        <x:f>COUNTA('Task Tracker'!$A$6:$A$200)</x:f>
        <x:v>16</x:v>
      </x:c>
      <x:c r="B5" s="135"/>
      <x:c r="C5" s="136" t="n">
        <x:f>COUNTIF('Task Tracker'!$E$6:$E$200,"Done")</x:f>
        <x:v>9</x:v>
      </x:c>
      <x:c r="D5" s="137"/>
      <x:c r="E5" s="138" t="n">
        <x:f>COUNTIF('Task Tracker'!$E$6:$E$200,"In Progress")</x:f>
        <x:v>3</x:v>
      </x:c>
      <x:c r="F5" s="139"/>
      <x:c r="G5" s="140" t="n">
        <x:f>COUNTIF('Task Tracker'!$E$6:$E$200,"Blocked")</x:f>
        <x:v>2</x:v>
      </x:c>
      <x:c r="H5" s="141"/>
    </x:row>
    <x:row r="6">
      <x:c r="A6" s="142"/>
      <x:c r="B6" s="143"/>
      <x:c r="C6" s="144"/>
      <x:c r="D6" s="145"/>
      <x:c r="E6" s="146"/>
      <x:c r="F6" s="147"/>
      <x:c r="G6" s="148"/>
      <x:c r="H6" s="149"/>
    </x:row>
    <x:row r="7">
      <x:c r="A7" s="133"/>
      <x:c r="B7" s="133"/>
      <x:c r="C7" s="133"/>
      <x:c r="D7" s="133"/>
      <x:c r="E7" s="133"/>
      <x:c r="F7" s="133"/>
      <x:c r="G7" s="133"/>
      <x:c r="H7" s="133"/>
    </x:row>
    <x:row r="8">
      <x:c r="A8" s="13" t="str">
        <x:v>QA CHECKS</x:v>
      </x:c>
      <x:c r="B8" s="14" t="str">
        <x:v>QA CHECKS</x:v>
      </x:c>
      <x:c r="C8" s="39" t="str">
        <x:v>QA PASSED</x:v>
      </x:c>
      <x:c r="D8" s="40" t="str">
        <x:v>QA PASSED</x:v>
      </x:c>
      <x:c r="E8" s="89" t="str">
        <x:v>QA FAILED</x:v>
      </x:c>
      <x:c r="F8" s="90" t="str">
        <x:v>QA FAILED</x:v>
      </x:c>
      <x:c r="G8" s="64" t="str">
        <x:v>OPEN GAPS</x:v>
      </x:c>
      <x:c r="H8" s="65" t="str">
        <x:v>OPEN GAPS</x:v>
      </x:c>
    </x:row>
    <x:row r="9">
      <x:c r="A9" s="134" t="n">
        <x:f>COUNTA('QA Matrix'!$A$6:$A$200)</x:f>
        <x:v>84</x:v>
      </x:c>
      <x:c r="B9" s="135"/>
      <x:c r="C9" s="136" t="n">
        <x:f>COUNTIF('QA Matrix'!$H$6:$H$200,"Passed")</x:f>
        <x:v>58</x:v>
      </x:c>
      <x:c r="D9" s="137"/>
      <x:c r="E9" s="140" t="n">
        <x:f>COUNTIF('QA Matrix'!$H$6:$H$200,"Failed")</x:f>
        <x:v>11</x:v>
      </x:c>
      <x:c r="F9" s="141"/>
      <x:c r="G9" s="138" t="n">
        <x:f>COUNTIFS('Product Gaps'!$A$6:$A$200,"&lt;&gt;",'Product Gaps'!$H$6:$H$200,"&lt;&gt;Closed",'Product Gaps'!$H$6:$H$200,"&lt;&gt;Resolved",'Product Gaps'!$H$6:$H$200,"&lt;&gt;Mitigated")</x:f>
        <x:v>11</x:v>
      </x:c>
      <x:c r="H9" s="139"/>
    </x:row>
    <x:row r="10">
      <x:c r="A10" s="142"/>
      <x:c r="B10" s="143"/>
      <x:c r="C10" s="144"/>
      <x:c r="D10" s="145"/>
      <x:c r="E10" s="148"/>
      <x:c r="F10" s="149"/>
      <x:c r="G10" s="146"/>
      <x:c r="H10" s="147"/>
    </x:row>
    <x:row r="11">
      <x:c r="A11" s="133"/>
      <x:c r="B11" s="133"/>
      <x:c r="C11" s="133"/>
      <x:c r="D11" s="133"/>
      <x:c r="E11" s="133"/>
      <x:c r="F11" s="133"/>
      <x:c r="G11" s="133"/>
      <x:c r="H11" s="133"/>
    </x:row>
    <x:row r="12" ht="24" customHeight="1">
      <x:c r="A12" s="110" t="str">
        <x:v>Operating workflow</x:v>
      </x:c>
      <x:c r="B12" s="110" t="str">
        <x:v>Operating workflow</x:v>
      </x:c>
      <x:c r="C12" s="110" t="str">
        <x:v>Operating workflow</x:v>
      </x:c>
      <x:c r="D12" s="110" t="str">
        <x:v>Operating workflow</x:v>
      </x:c>
      <x:c r="E12" s="110" t="str">
        <x:v>Operating workflow</x:v>
      </x:c>
      <x:c r="F12" s="110" t="str">
        <x:v>Operating workflow</x:v>
      </x:c>
      <x:c r="G12" s="110" t="str">
        <x:v>Operating workflow</x:v>
      </x:c>
      <x:c r="H12" s="110" t="str">
        <x:v>Operating workflow</x:v>
      </x:c>
    </x:row>
    <x:row r="13" ht="46" customHeight="1">
      <x:c r="A13" s="114" t="str">
        <x:v>1</x:v>
      </x:c>
      <x:c r="B13" s="115" t="str">
        <x:v>Add or import each project task into Task Tracker.</x:v>
      </x:c>
      <x:c r="C13" s="115" t="str">
        <x:v>2</x:v>
      </x:c>
      <x:c r="D13" s="115" t="str">
        <x:v>Move one task to In Progress and record its goal and acceptance criteria.</x:v>
      </x:c>
      <x:c r="E13" s="115" t="str">
        <x:v>3</x:v>
      </x:c>
      <x:c r="F13" s="115" t="str">
        <x:v>Log each meaningful step in Activity Log as work happens.</x:v>
      </x:c>
      <x:c r="G13" s="115" t="str">
        <x:v>4</x:v>
      </x:c>
      <x:c r="H13" s="116" t="str">
        <x:v>Validate through Computer Use, Simulator, and/or Browser as appropriate.</x:v>
      </x:c>
    </x:row>
    <x:row r="14" ht="46" customHeight="1">
      <x:c r="A14" s="117" t="str">
        <x:v>5</x:v>
      </x:c>
      <x:c r="B14" s="118" t="str">
        <x:v>Run the QA Matrix across required device sizes and record evidence.</x:v>
      </x:c>
      <x:c r="C14" s="118" t="str">
        <x:v>6</x:v>
      </x:c>
      <x:c r="D14" s="118" t="str">
        <x:v>Capture design or product gaps in Product Gaps.</x:v>
      </x:c>
      <x:c r="E14" s="118" t="str">
        <x:v>7</x:v>
      </x:c>
      <x:c r="F14" s="118" t="str">
        <x:v>Convert approved gaps into future Task IDs.</x:v>
      </x:c>
      <x:c r="G14" s="118" t="str">
        <x:v>8</x:v>
      </x:c>
      <x:c r="H14" s="119" t="str">
        <x:v>Commit and push meaningful checkpoints, then record the SHA or link.</x:v>
      </x:c>
    </x:row>
    <x:row r="15" ht="46" customHeight="1">
      <x:c r="A15" s="117" t="str">
        <x:v>9</x:v>
      </x:c>
      <x:c r="B15" s="118" t="str">
        <x:v>Mark a task Done only after acceptance criteria and required checks pass.</x:v>
      </x:c>
      <x:c r="C15" s="118" t="str">
        <x:v>10</x:v>
      </x:c>
      <x:c r="D15" s="118" t="str">
        <x:v>Keep blockers explicit and give each one a next step.</x:v>
      </x:c>
      <x:c r="E15" s="118" t="str">
        <x:v>11</x:v>
      </x:c>
      <x:c r="F15" s="118" t="str">
        <x:v>Update the Overview metrics by maintaining the source tabs.</x:v>
      </x:c>
      <x:c r="G15" s="118" t="str">
        <x:v>12</x:v>
      </x:c>
      <x:c r="H15" s="119" t="str">
        <x:v>Review the Activity Log for a clear audit trail.</x:v>
      </x:c>
    </x:row>
    <x:row r="16" ht="46" customHeight="1">
      <x:c r="A16" s="117" t="str">
        <x:v>Rule</x:v>
      </x:c>
      <x:c r="B16" s="118" t="str">
        <x:v>Track meaningful progress and production evidence, not clicks.</x:v>
      </x:c>
      <x:c r="C16" s="118" t="str">
        <x:v>Rule</x:v>
      </x:c>
      <x:c r="D16" s="118" t="str">
        <x:v>A GitHub push is not proof of a deploy.</x:v>
      </x:c>
      <x:c r="E16" s="118" t="str">
        <x:v>Rule</x:v>
      </x:c>
      <x:c r="F16" s="118" t="str">
        <x:v>Device coverage belongs in both the task and QA Matrix.</x:v>
      </x:c>
      <x:c r="G16" s="118" t="str">
        <x:v>Rule</x:v>
      </x:c>
      <x:c r="H16" s="119" t="str">
        <x:v>Product failures and infrastructure failures stay separate.</x:v>
      </x:c>
    </x:row>
    <x:row r="17" ht="132" customHeight="1">
      <x:c r="A17" s="120" t="str">
        <x:v>Current</x:v>
      </x:c>
      <x:c r="B17" s="121" t="str">
        <x:v>Live owner APIs pass 31/32; Settings/Inventory and provider-safe communications lifecycles pass; historical route audit remains 69/78 until deploy.</x:v>
      </x:c>
      <x:c r="C17" s="121" t="str">
        <x:v>Repositories</x:v>
      </x:c>
      <x:c r="D17" s="121" t="str">
        <x:v>PestFlow PR #89 @ 7f067f4; Browser-Base-QA @ 7e2698f shared with yawbtng.</x:v>
      </x:c>
      <x:c r="E17" s="121" t="str">
        <x:v>Activation</x:v>
      </x:c>
      <x:c r="F17" s="121" t="str">
        <x:v>Restore Actions; deploy reviewed fixes; add Browserbase secrets/context; require exact-SHA 32/32 API and 81/81 route gates.</x:v>
      </x:c>
      <x:c r="G17" s="121" t="str">
        <x:v>Review</x:v>
      </x:c>
      <x:c r="H17" s="122" t="str">
        <x:v>Draft PR mergeable/unstable; run 29211754954 was zero-step billing blocked.</x:v>
      </x:c>
    </x:row>
    <x:row r="18">
      <x:c r="A18" s="133"/>
      <x:c r="B18" s="133"/>
      <x:c r="C18" s="133"/>
      <x:c r="D18" s="133"/>
      <x:c r="E18" s="133"/>
      <x:c r="F18" s="133"/>
      <x:c r="G18" s="133"/>
      <x:c r="H18" s="133"/>
    </x:row>
    <x:row r="19" ht="24" customHeight="1">
      <x:c r="A19" s="110" t="str">
        <x:v>Definition of done</x:v>
      </x:c>
      <x:c r="B19" s="110" t="str">
        <x:v>Definition of done</x:v>
      </x:c>
      <x:c r="C19" s="110" t="str">
        <x:v>Definition of done</x:v>
      </x:c>
      <x:c r="D19" s="110" t="str">
        <x:v>Definition of done</x:v>
      </x:c>
      <x:c r="E19" s="110" t="str">
        <x:v>Definition of done</x:v>
      </x:c>
      <x:c r="F19" s="110" t="str">
        <x:v>Definition of done</x:v>
      </x:c>
      <x:c r="G19" s="110" t="str">
        <x:v>Definition of done</x:v>
      </x:c>
      <x:c r="H19" s="110" t="str">
        <x:v>Definition of done</x:v>
      </x:c>
    </x:row>
    <x:row r="20" ht="42" customHeight="1">
      <x:c r="A20" s="114" t="str">
        <x:v>✓</x:v>
      </x:c>
      <x:c r="B20" s="115" t="str">
        <x:v>Acceptance criteria are satisfied.</x:v>
      </x:c>
      <x:c r="C20" s="115" t="str">
        <x:v>✓</x:v>
      </x:c>
      <x:c r="D20" s="115" t="str">
        <x:v>Required Computer Use, Simulator, or Browser checks are complete.</x:v>
      </x:c>
      <x:c r="E20" s="115" t="str">
        <x:v>✓</x:v>
      </x:c>
      <x:c r="F20" s="115" t="str">
        <x:v>Required device sizes are checked.</x:v>
      </x:c>
      <x:c r="G20" s="115" t="str">
        <x:v>✓</x:v>
      </x:c>
      <x:c r="H20" s="116" t="str">
        <x:v>Evidence or review links are recorded.</x:v>
      </x:c>
    </x:row>
    <x:row r="21" ht="42" customHeight="1">
      <x:c r="A21" s="117" t="str">
        <x:v>✓</x:v>
      </x:c>
      <x:c r="B21" s="118" t="str">
        <x:v>No unresolved critical regression remains.</x:v>
      </x:c>
      <x:c r="C21" s="118" t="str">
        <x:v>✓</x:v>
      </x:c>
      <x:c r="D21" s="118" t="str">
        <x:v>New product/design gaps are logged.</x:v>
      </x:c>
      <x:c r="E21" s="118" t="str">
        <x:v>✓</x:v>
      </x:c>
      <x:c r="F21" s="118" t="str">
        <x:v>Activity Log reflects the meaningful path to completion.</x:v>
      </x:c>
      <x:c r="G21" s="118" t="str">
        <x:v>✓</x:v>
      </x:c>
      <x:c r="H21" s="119" t="str">
        <x:v>Commit/push reference is recorded when code changes exist.</x:v>
      </x:c>
    </x:row>
    <x:row r="22" ht="42" customHeight="1">
      <x:c r="A22" s="117" t="str">
        <x:v>✓</x:v>
      </x:c>
      <x:c r="B22" s="118" t="str">
        <x:v>Status, owner, blockers, and last update are current.</x:v>
      </x:c>
      <x:c r="C22" s="118" t="str">
        <x:v>✓</x:v>
      </x:c>
      <x:c r="D22" s="118" t="str">
        <x:v>Failures include a next step.</x:v>
      </x:c>
      <x:c r="E22" s="118" t="str">
        <x:v>✓</x:v>
      </x:c>
      <x:c r="F22" s="118" t="str">
        <x:v>QA results are tied to a Task ID.</x:v>
      </x:c>
      <x:c r="G22" s="118" t="str">
        <x:v>✓</x:v>
      </x:c>
      <x:c r="H22" s="119" t="str">
        <x:v>The reviewer can understand what changed and why.</x:v>
      </x:c>
    </x:row>
    <x:row r="23" ht="62" customHeight="1">
      <x:c r="A23" s="117" t="str">
        <x:v>Note</x:v>
      </x:c>
      <x:c r="B23" s="118" t="str">
        <x:v>Original critical workflows are green; live owner evidence remains red at 31/32 APIs and 69/78 historical routes until the reviewed fixes deploy.</x:v>
      </x:c>
      <x:c r="C23" s="118" t="str">
        <x:v>Note</x:v>
      </x:c>
      <x:c r="D23" s="118" t="str">
        <x:v>Stagehand live sessions wait on Browserbase configuration.</x:v>
      </x:c>
      <x:c r="E23" s="118" t="str">
        <x:v>Note</x:v>
      </x:c>
      <x:c r="F23" s="118" t="str">
        <x:v>Future tasks come from validated gaps.</x:v>
      </x:c>
      <x:c r="G23" s="118" t="str">
        <x:v>Note</x:v>
      </x:c>
      <x:c r="H23" s="119" t="str">
        <x:v>Repo-wide lint debt is recorded separately from this change.</x:v>
      </x:c>
    </x:row>
    <x:row r="24" ht="78" customHeight="1">
      <x:c r="A24" s="120" t="str">
        <x:v>Ready</x:v>
      </x:c>
      <x:c r="B24" s="121" t="str">
        <x:v>Risk-based candidate and scheduled workflows are defined.</x:v>
      </x:c>
      <x:c r="C24" s="121" t="str">
        <x:v>Sequence</x:v>
      </x:c>
      <x:c r="D24" s="121" t="str">
        <x:v>Select risk → Build → Deploy candidate → Deterministic QA → Guardian → Promote.</x:v>
      </x:c>
      <x:c r="E24" s="121" t="str">
        <x:v>Quality</x:v>
      </x:c>
      <x:c r="F24" s="121" t="str">
        <x:v>The evidence policy blocks missing checks and skips.</x:v>
      </x:c>
      <x:c r="G24" s="121" t="str">
        <x:v>Coverage</x:v>
      </x:c>
      <x:c r="H24" s="122" t="str">
        <x:v>1440, 1280, 1024 verified; 1920 remains in nightly Browserbase matrix.</x:v>
      </x:c>
    </x:row>
    <x:row r="25">
      <x:c r="A25" s="133"/>
      <x:c r="B25" s="133"/>
      <x:c r="C25" s="133"/>
      <x:c r="D25" s="133"/>
      <x:c r="E25" s="133"/>
      <x:c r="F25" s="133"/>
      <x:c r="G25" s="133"/>
      <x:c r="H25" s="133"/>
    </x:row>
    <x:row r="26" ht="24" customHeight="1">
      <x:c r="A26" s="110" t="str">
        <x:v>Working prompt — cleaned for repeat use</x:v>
      </x:c>
      <x:c r="B26" s="110" t="str">
        <x:v>Working prompt — cleaned for repeat use</x:v>
      </x:c>
      <x:c r="C26" s="110" t="str">
        <x:v>Working prompt — cleaned for repeat use</x:v>
      </x:c>
      <x:c r="D26" s="110" t="str">
        <x:v>Working prompt — cleaned for repeat use</x:v>
      </x:c>
      <x:c r="E26" s="110" t="str">
        <x:v>Working prompt — cleaned for repeat use</x:v>
      </x:c>
      <x:c r="F26" s="110" t="str">
        <x:v>Working prompt — cleaned for repeat use</x:v>
      </x:c>
      <x:c r="G26" s="110" t="str">
        <x:v>Working prompt — cleaned for repeat use</x:v>
      </x:c>
      <x:c r="H26" s="110" t="str">
        <x:v>Working prompt — cleaned for repeat use</x:v>
      </x:c>
    </x:row>
    <x:row r="27" ht="34" customHeight="1">
      <x:c r="A27" s="124" t="str">
        <x:v>Systematically complete and knock tasks off the tracker. Verify work through Computer Use, Simulator, and/or Browser, and record the device sizes checked.</x:v>
      </x:c>
      <x:c r="B27" s="125"/>
      <x:c r="C27" s="125"/>
      <x:c r="D27" s="125"/>
      <x:c r="E27" s="125"/>
      <x:c r="F27" s="125"/>
      <x:c r="G27" s="125"/>
      <x:c r="H27" s="126"/>
    </x:row>
    <x:row r="28" ht="34" customHeight="1">
      <x:c r="A28" s="127" t="str">
        <x:v>The goal is to complete tracker tasks with proper validation, thoughtful product judgment, and sound software mechanisms.</x:v>
      </x:c>
      <x:c r="B28" s="123"/>
      <x:c r="C28" s="123"/>
      <x:c r="D28" s="123"/>
      <x:c r="E28" s="123"/>
      <x:c r="F28" s="123"/>
      <x:c r="G28" s="123"/>
      <x:c r="H28" s="128"/>
    </x:row>
    <x:row r="29" ht="34" customHeight="1">
      <x:c r="A29" s="127" t="str">
        <x:v>As tasks are completed, record other design and product gaps, then add appropriate future tasks to the tracker.</x:v>
      </x:c>
      <x:c r="B29" s="123"/>
      <x:c r="C29" s="123"/>
      <x:c r="D29" s="123"/>
      <x:c r="E29" s="123"/>
      <x:c r="F29" s="123"/>
      <x:c r="G29" s="123"/>
      <x:c r="H29" s="128"/>
    </x:row>
    <x:row r="30" ht="34" customHeight="1">
      <x:c r="A30" s="127" t="str">
        <x:v>Update the Task Tracker, Activity Log, QA Matrix, and Product Gaps tabs while work is happening. Record commits and pushes at meaningful checkpoints.</x:v>
      </x:c>
      <x:c r="B30" s="123"/>
      <x:c r="C30" s="123"/>
      <x:c r="D30" s="123"/>
      <x:c r="E30" s="123"/>
      <x:c r="F30" s="123"/>
      <x:c r="G30" s="123"/>
      <x:c r="H30" s="128"/>
    </x:row>
    <x:row r="31" ht="34" customHeight="1">
      <x:c r="A31" s="129" t="str">
        <x:v>Tracker path: /Users/trevorgicheru/Library/Mobile Documents/com~apple~CloudDocs/Downloads/outputs/browser-base-qa-tracker-preview/Browser-Base-QA-Activity-Tracker.xlsx. Code worktree: /private/tmp/pestflow-desktop-qa-guardian.</x:v>
      </x:c>
      <x:c r="B31" s="130"/>
      <x:c r="C31" s="130"/>
      <x:c r="D31" s="130"/>
      <x:c r="E31" s="130"/>
      <x:c r="F31" s="130"/>
      <x:c r="G31" s="130"/>
      <x:c r="H31" s="13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19:H19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8" hidden="0" customWidth="1"/>
    <x:col min="4" max="4" width="34" hidden="0" customWidth="1"/>
    <x:col min="5" max="5" width="15" hidden="0" customWidth="1"/>
    <x:col min="6" max="6" width="11" hidden="0" customWidth="1"/>
    <x:col min="7" max="7" width="16" hidden="0" customWidth="1"/>
    <x:col min="8" max="8" width="28" hidden="0" customWidth="1"/>
    <x:col min="9" max="9" width="14" hidden="0" customWidth="1"/>
    <x:col min="10" max="10" width="13" hidden="0" customWidth="1"/>
    <x:col min="11" max="11" width="12" hidden="0" customWidth="1"/>
    <x:col min="12" max="12" width="24" hidden="0" customWidth="1"/>
    <x:col min="13" max="13" width="28" hidden="0" customWidth="1"/>
    <x:col min="14" max="14" width="22" hidden="0" customWidth="1"/>
    <x:col min="15" max="15" width="25" hidden="0" customWidth="1"/>
    <x:col min="16" max="16" width="28" hidden="0" customWidth="1"/>
    <x:col min="17" max="17" width="19" hidden="0" customWidth="1"/>
  </x:cols>
  <x:sheetData>
    <x:row r="1" ht="34" customHeight="1">
      <x:c r="A1" s="132" t="str">
        <x:v>Task Tracker</x:v>
      </x:c>
      <x:c r="B1" s="132" t="str">
        <x:v>Task Tracker</x:v>
      </x:c>
      <x:c r="C1" s="132" t="str">
        <x:v>Task Tracker</x:v>
      </x:c>
      <x:c r="D1" s="132" t="str">
        <x:v>Task Tracker</x:v>
      </x:c>
      <x:c r="E1" s="132" t="str">
        <x:v>Task Tracker</x:v>
      </x:c>
      <x:c r="F1" s="132" t="str">
        <x:v>Task Tracker</x:v>
      </x:c>
      <x:c r="G1" s="132" t="str">
        <x:v>Task Tracker</x:v>
      </x:c>
      <x:c r="H1" s="132" t="str">
        <x:v>Task Tracker</x:v>
      </x:c>
      <x:c r="I1" s="132" t="str">
        <x:v>Task Tracker</x:v>
      </x:c>
      <x:c r="J1" s="132" t="str">
        <x:v>Task Tracker</x:v>
      </x:c>
      <x:c r="K1" s="132" t="str">
        <x:v>Task Tracker</x:v>
      </x:c>
      <x:c r="L1" s="132" t="str">
        <x:v>Task Tracker</x:v>
      </x:c>
      <x:c r="M1" s="132" t="str">
        <x:v>Task Tracker</x:v>
      </x:c>
      <x:c r="N1" s="132" t="str">
        <x:v>Task Tracker</x:v>
      </x:c>
      <x:c r="O1" s="132" t="str">
        <x:v>Task Tracker</x:v>
      </x:c>
      <x:c r="P1" s="132" t="str">
        <x:v>Task Tracker</x:v>
      </x:c>
      <x:c r="Q1" s="132" t="str">
        <x:v>Task Tracker</x:v>
      </x:c>
    </x:row>
    <x:row r="2" ht="32" customHeight="1">
      <x:c r="A2" s="7" t="str">
        <x:v>One row per goal-oriented task. Keep acceptance criteria, required validation, device coverage, evidence, blockers, and commit/push references current as work progresses.</x:v>
      </x:c>
      <x:c r="B2" s="7" t="str">
        <x:v>One row per goal-oriented task. Keep acceptance criteria, required validation, device coverage, evidence, blockers, and commit/push references current as work progresses.</x:v>
      </x:c>
      <x:c r="C2" s="7" t="str">
        <x:v>One row per goal-oriented task. Keep acceptance criteria, required validation, device coverage, evidence, blockers, and commit/push references current as work progresses.</x:v>
      </x:c>
      <x:c r="D2" s="7" t="str">
        <x:v>One row per goal-oriented task. Keep acceptance criteria, required validation, device coverage, evidence, blockers, and commit/push references current as work progresses.</x:v>
      </x:c>
      <x:c r="E2" s="7" t="str">
        <x:v>One row per goal-oriented task. Keep acceptance criteria, required validation, device coverage, evidence, blockers, and commit/push references current as work progresses.</x:v>
      </x:c>
      <x:c r="F2" s="7" t="str">
        <x:v>One row per goal-oriented task. Keep acceptance criteria, required validation, device coverage, evidence, blockers, and commit/push references current as work progresses.</x:v>
      </x:c>
      <x:c r="G2" s="7" t="str">
        <x:v>One row per goal-oriented task. Keep acceptance criteria, required validation, device coverage, evidence, blockers, and commit/push references current as work progresses.</x:v>
      </x:c>
      <x:c r="H2" s="7" t="str">
        <x:v>One row per goal-oriented task. Keep acceptance criteria, required validation, device coverage, evidence, blockers, and commit/push references current as work progresses.</x:v>
      </x:c>
      <x:c r="I2" s="7" t="str">
        <x:v>One row per goal-oriented task. Keep acceptance criteria, required validation, device coverage, evidence, blockers, and commit/push references current as work progresses.</x:v>
      </x:c>
      <x:c r="J2" s="7" t="str">
        <x:v>One row per goal-oriented task. Keep acceptance criteria, required validation, device coverage, evidence, blockers, and commit/push references current as work progresses.</x:v>
      </x:c>
      <x:c r="K2" s="7" t="str">
        <x:v>One row per goal-oriented task. Keep acceptance criteria, required validation, device coverage, evidence, blockers, and commit/push references current as work progresses.</x:v>
      </x:c>
      <x:c r="L2" s="7" t="str">
        <x:v>One row per goal-oriented task. Keep acceptance criteria, required validation, device coverage, evidence, blockers, and commit/push references current as work progresses.</x:v>
      </x:c>
      <x:c r="M2" s="7" t="str">
        <x:v>One row per goal-oriented task. Keep acceptance criteria, required validation, device coverage, evidence, blockers, and commit/push references current as work progresses.</x:v>
      </x:c>
      <x:c r="N2" s="7" t="str">
        <x:v>One row per goal-oriented task. Keep acceptance criteria, required validation, device coverage, evidence, blockers, and commit/push references current as work progresses.</x:v>
      </x:c>
      <x:c r="O2" s="7" t="str">
        <x:v>One row per goal-oriented task. Keep acceptance criteria, required validation, device coverage, evidence, blockers, and commit/push references current as work progresses.</x:v>
      </x:c>
      <x:c r="P2" s="7" t="str">
        <x:v>One row per goal-oriented task. Keep acceptance criteria, required validation, device coverage, evidence, blockers, and commit/push references current as work progresses.</x:v>
      </x:c>
      <x:c r="Q2" s="7" t="str">
        <x:v>One row per goal-oriented task. Keep acceptance criteria, required validation, device coverage, evidence, blockers, and commit/push references current as work progresses.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  <x:c r="O3" s="133"/>
      <x:c r="P3" s="133"/>
      <x:c r="Q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  <x:c r="O4" s="133"/>
      <x:c r="P4" s="133"/>
      <x:c r="Q4" s="133"/>
    </x:row>
    <x:row r="5" ht="15" hidden="0" customHeight="1">
      <x:c r="A5" s="160" t="str">
        <x:v>Task ID</x:v>
      </x:c>
      <x:c r="B5" s="161" t="str">
        <x:v>Phase</x:v>
      </x:c>
      <x:c r="C5" s="161" t="str">
        <x:v>Goal / Task</x:v>
      </x:c>
      <x:c r="D5" s="161" t="str">
        <x:v>Acceptance Criteria</x:v>
      </x:c>
      <x:c r="E5" s="161" t="str">
        <x:v>Status</x:v>
      </x:c>
      <x:c r="F5" s="161" t="str">
        <x:v>Priority</x:v>
      </x:c>
      <x:c r="G5" s="161" t="str">
        <x:v>Owner</x:v>
      </x:c>
      <x:c r="H5" s="161" t="str">
        <x:v>Validation Plan</x:v>
      </x:c>
      <x:c r="I5" s="161" t="str">
        <x:v>Computer Use</x:v>
      </x:c>
      <x:c r="J5" s="161" t="str">
        <x:v>Simulator</x:v>
      </x:c>
      <x:c r="K5" s="161" t="str">
        <x:v>Browser</x:v>
      </x:c>
      <x:c r="L5" s="161" t="str">
        <x:v>Device Sizes</x:v>
      </x:c>
      <x:c r="M5" s="161" t="str">
        <x:v>Evidence / Links</x:v>
      </x:c>
      <x:c r="N5" s="161" t="str">
        <x:v>Commit / Push</x:v>
      </x:c>
      <x:c r="O5" s="161" t="str">
        <x:v>Blockers</x:v>
      </x:c>
      <x:c r="P5" s="161" t="str">
        <x:v>Notes</x:v>
      </x:c>
      <x:c r="Q5" s="162" t="str">
        <x:v>Last Updated</x:v>
      </x:c>
    </x:row>
    <x:row r="6" ht="60" hidden="0" customHeight="1">
      <x:c r="A6" s="113" t="str">
        <x:v>T-001</x:v>
      </x:c>
      <x:c r="B6" s="113" t="str">
        <x:v>Setup</x:v>
      </x:c>
      <x:c r="C6" s="113" t="str">
        <x:v>Review and approve tracker structure</x:v>
      </x:c>
      <x:c r="D6" s="113" t="str">
        <x:v>Workbook is accepted as the operating tracker and project execution begins.</x:v>
      </x:c>
      <x:c r="E6" s="113" t="str">
        <x:v>Done</x:v>
      </x:c>
      <x:c r="F6" s="113" t="str">
        <x:v>High</x:v>
      </x:c>
      <x:c r="G6" s="113" t="str">
        <x:v>Trevor</x:v>
      </x:c>
      <x:c r="H6" s="113" t="str">
        <x:v>Review every tab and proceed with the real QA scope.</x:v>
      </x:c>
      <x:c r="I6" s="113" t="str">
        <x:v>Passed</x:v>
      </x:c>
      <x:c r="J6" s="113" t="str">
        <x:v>Not Needed</x:v>
      </x:c>
      <x:c r="K6" s="113" t="str">
        <x:v>Passed</x:v>
      </x:c>
      <x:c r="L6" s="113" t="str">
        <x:v>Desktop review</x:v>
      </x:c>
      <x:c r="M6" s="113" t="str">
        <x:v>/Users/trevorgicheru/Library/Mobile Documents/com~apple~CloudDocs/Downloads/outputs/browser-base-qa-tracker-preview/Browser-Base-QA-Activity-Tracker.xlsx</x:v>
      </x:c>
      <x:c r="N6" s="113" t="str">
        <x:v>Tracker created</x:v>
      </x:c>
      <x:c r="O6" s="113"/>
      <x:c r="P6" s="113" t="str">
        <x:v>User proceeded from preview into the PestFlow QA build.</x:v>
      </x:c>
      <x:c r="Q6" s="163" t="n">
        <x:v>46215.27099571759</x:v>
      </x:c>
    </x:row>
    <x:row r="7" ht="36" hidden="0" customHeight="1">
      <x:c r="A7" s="113" t="str">
        <x:v>T-002</x:v>
      </x:c>
      <x:c r="B7" s="113" t="str">
        <x:v>Planning</x:v>
      </x:c>
      <x:c r="C7" s="113" t="str">
        <x:v>Audit current QA stack and production failure modes</x:v>
      </x:c>
      <x:c r="D7" s="113" t="str">
        <x:v>Existing workflows, deterministic suites, false-red causes, and handoff behavior are documented from live evidence.</x:v>
      </x:c>
      <x:c r="E7" s="113" t="str">
        <x:v>Done</x:v>
      </x:c>
      <x:c r="F7" s="113" t="str">
        <x:v>Critical</x:v>
      </x:c>
      <x:c r="G7" s="113" t="str">
        <x:v>Codex</x:v>
      </x:c>
      <x:c r="H7" s="113" t="str">
        <x:v>Inspect origin/main, workflow definitions, recent Actions evidence, and production test boundaries.</x:v>
      </x:c>
      <x:c r="I7" s="113" t="str">
        <x:v>Passed</x:v>
      </x:c>
      <x:c r="J7" s="113" t="str">
        <x:v>Not Needed</x:v>
      </x:c>
      <x:c r="K7" s="113" t="str">
        <x:v>Passed</x:v>
      </x:c>
      <x:c r="L7" s="113" t="str">
        <x:v>Desktop</x:v>
      </x:c>
      <x:c r="M7" s="113" t="str">
        <x:v>/private/tmp/pestflow-desktop-qa-guardian/docs/qa-guardian.md</x:v>
      </x:c>
      <x:c r="N7" s="113" t="str">
        <x:v>codex/desktop-qa-guardian</x:v>
      </x:c>
      <x:c r="O7" s="113"/>
      <x:c r="P7" s="113" t="str">
        <x:v>Artifact-quota-only failures were creating misleading red workflows.</x:v>
      </x:c>
      <x:c r="Q7" s="163" t="n">
        <x:v>46215.27099571759</x:v>
      </x:c>
    </x:row>
    <x:row r="8" ht="36" hidden="0" customHeight="1">
      <x:c r="A8" s="113" t="str">
        <x:v>T-003</x:v>
      </x:c>
      <x:c r="B8" s="113" t="str">
        <x:v>Execution</x:v>
      </x:c>
      <x:c r="C8" s="113" t="str">
        <x:v>Build the PestFlow Desktop QA Guardian</x:v>
      </x:c>
      <x:c r="D8" s="113" t="str">
        <x:v>Browserbase/Stagehand runner, registry, safety policy, workflow, evidence, incident handoff, and docs are implemented.</x:v>
      </x:c>
      <x:c r="E8" s="113" t="str">
        <x:v>Done</x:v>
      </x:c>
      <x:c r="F8" s="113" t="str">
        <x:v>Critical</x:v>
      </x:c>
      <x:c r="G8" s="113" t="str">
        <x:v>Codex</x:v>
      </x:c>
      <x:c r="H8" s="113" t="str">
        <x:v>Unit-test registry/policy, dry-run full matrix, parse workflows, load SDK, and build repo.</x:v>
      </x:c>
      <x:c r="I8" s="113" t="str">
        <x:v>Not Needed</x:v>
      </x:c>
      <x:c r="J8" s="113" t="str">
        <x:v>Not Needed</x:v>
      </x:c>
      <x:c r="K8" s="113" t="str">
        <x:v>Passed</x:v>
      </x:c>
      <x:c r="L8" s="113" t="str">
        <x:v>1440, 1280, 1920, 1024 matrix</x:v>
      </x:c>
      <x:c r="M8" s="113" t="str">
        <x:v>/private/tmp/pestflow-desktop-qa-guardian/qa/guardian/desktop-journeys.json</x:v>
      </x:c>
      <x:c r="N8" s="113" t="str">
        <x:v>7f067f4 + Browser-Base-QA 7e2698f; PR #89</x:v>
      </x:c>
      <x:c r="O8" s="113"/>
      <x:c r="P8" s="113" t="str">
        <x:v>The standalone recorded owner session executes 32 API contracts and the complete 508-line PRD remains synchronized.</x:v>
      </x:c>
      <x:c r="Q8" s="163" t="n">
        <x:v>46215.27099571759</x:v>
      </x:c>
    </x:row>
    <x:row r="9" ht="39.599998474121094" hidden="0" customHeight="1">
      <x:c r="A9" s="166" t="str">
        <x:v>T-004</x:v>
      </x:c>
      <x:c r="B9" s="166" t="str">
        <x:v>Signal</x:v>
      </x:c>
      <x:c r="C9" s="166" t="str">
        <x:v>Classify failures and eliminate false repair incidents</x:v>
      </x:c>
      <x:c r="D9" s="166" t="str">
        <x:v>Artifact, runner, notification, unknown, and product failures are separated; quota failures cannot open repair PRs.</x:v>
      </x:c>
      <x:c r="E9" s="166" t="str">
        <x:v>Done</x:v>
      </x:c>
      <x:c r="F9" s="166" t="str">
        <x:v>Critical</x:v>
      </x:c>
      <x:c r="G9" s="166" t="str">
        <x:v>Codex</x:v>
      </x:c>
      <x:c r="H9" s="166" t="str">
        <x:v>Run classifier and incident integration tests against quota-only and real product failures.</x:v>
      </x:c>
      <x:c r="I9" s="166" t="str">
        <x:v>Not Needed</x:v>
      </x:c>
      <x:c r="J9" s="166" t="str">
        <x:v>Not Needed</x:v>
      </x:c>
      <x:c r="K9" s="166" t="str">
        <x:v>Passed</x:v>
      </x:c>
      <x:c r="L9" s="166" t="str">
        <x:v>N/A</x:v>
      </x:c>
      <x:c r="M9" s="166" t="str">
        <x:v>/private/tmp/pestflow-desktop-qa-guardian/scripts/lib/qa-failure-classifier.mjs</x:v>
      </x:c>
      <x:c r="N9" s="166" t="str">
        <x:v>codex/desktop-qa-guardian</x:v>
      </x:c>
      <x:c r="O9" s="166"/>
      <x:c r="P9" s="166" t="str">
        <x:v>12 incident/classifier tests pass.</x:v>
      </x:c>
      <x:c r="Q9" s="167" t="n">
        <x:v>46215.27099571759</x:v>
      </x:c>
    </x:row>
    <x:row r="10" ht="39.599998474121094" hidden="0" customHeight="1">
      <x:c r="A10" s="166" t="str">
        <x:v>T-005</x:v>
      </x:c>
      <x:c r="B10" s="166" t="str">
        <x:v>Automation</x:v>
      </x:c>
      <x:c r="C10" s="166" t="str">
        <x:v>Deduplicate repair branches and evidence alerts</x:v>
      </x:c>
      <x:c r="D10" s="166" t="str">
        <x:v>The same failure fingerprint reuses one stable branch/PR and records later occurrences without an alert storm.</x:v>
      </x:c>
      <x:c r="E10" s="166" t="str">
        <x:v>Done</x:v>
      </x:c>
      <x:c r="F10" s="166" t="str">
        <x:v>High</x:v>
      </x:c>
      <x:c r="G10" s="166" t="str">
        <x:v>Codex</x:v>
      </x:c>
      <x:c r="H10" s="166" t="str">
        <x:v>Verify stable fingerprints across run ids, timestamps, and URLs.</x:v>
      </x:c>
      <x:c r="I10" s="166" t="str">
        <x:v>Not Needed</x:v>
      </x:c>
      <x:c r="J10" s="166" t="str">
        <x:v>Not Needed</x:v>
      </x:c>
      <x:c r="K10" s="166" t="str">
        <x:v>Passed</x:v>
      </x:c>
      <x:c r="L10" s="166" t="str">
        <x:v>N/A</x:v>
      </x:c>
      <x:c r="M10" s="166" t="str">
        <x:v>/private/tmp/pestflow-desktop-qa-guardian/.github/workflows/qa-codex-staging-repair.yml</x:v>
      </x:c>
      <x:c r="N10" s="166" t="str">
        <x:v>codex/desktop-qa-guardian</x:v>
      </x:c>
      <x:c r="O10" s="166"/>
      <x:c r="P10" s="166" t="str">
        <x:v>Evidence uploads are best-effort and retained 7 days.</x:v>
      </x:c>
      <x:c r="Q10" s="167" t="n">
        <x:v>46215.27099571759</x:v>
      </x:c>
    </x:row>
    <x:row r="11" ht="39.599998474121094" hidden="0" customHeight="1">
      <x:c r="A11" s="166" t="str">
        <x:v>T-006</x:v>
      </x:c>
      <x:c r="B11" s="166" t="str">
        <x:v>Coverage</x:v>
      </x:c>
      <x:c r="C11" s="166" t="str">
        <x:v>Define semantic desktop journeys and safety policy</x:v>
      </x:c>
      <x:c r="D11" s="166" t="str">
        <x:v>Every static desktop route is covered or explicitly delegated; destructive production actions are forbidden.</x:v>
      </x:c>
      <x:c r="E11" s="166" t="str">
        <x:v>Done</x:v>
      </x:c>
      <x:c r="F11" s="166" t="str">
        <x:v>Critical</x:v>
      </x:c>
      <x:c r="G11" s="166" t="str">
        <x:v>Codex</x:v>
      </x:c>
      <x:c r="H11" s="166" t="str">
        <x:v>Validate registry structure, route coverage, action policy, navigation, and semantic errors.</x:v>
      </x:c>
      <x:c r="I11" s="166" t="str">
        <x:v>Not Needed</x:v>
      </x:c>
      <x:c r="J11" s="166" t="str">
        <x:v>Not Needed</x:v>
      </x:c>
      <x:c r="K11" s="166" t="str">
        <x:v>Passed</x:v>
      </x:c>
      <x:c r="L11" s="166" t="str">
        <x:v>1440, 1280, 1920, 1024</x:v>
      </x:c>
      <x:c r="M11" s="166" t="str">
        <x:v>/private/tmp/pestflow-desktop-qa-guardian/qa/guardian/desktop-journeys.json</x:v>
      </x:c>
      <x:c r="N11" s="166" t="str">
        <x:v>codex/desktop-qa-guardian</x:v>
      </x:c>
      <x:c r="O11" s="166"/>
      <x:c r="P11" s="166" t="str">
        <x:v>Five journeys produce a 12-session full matrix.</x:v>
      </x:c>
      <x:c r="Q11" s="167" t="n">
        <x:v>46215.27099571759</x:v>
      </x:c>
    </x:row>
    <x:row r="12" ht="39.599998474121094" hidden="0" customHeight="1">
      <x:c r="A12" s="166" t="str">
        <x:v>T-007</x:v>
      </x:c>
      <x:c r="B12" s="166" t="str">
        <x:v>Production QA</x:v>
      </x:c>
      <x:c r="C12" s="166" t="str">
        <x:v>Expand deterministic desktop production coverage</x:v>
      </x:c>
      <x:c r="D12" s="166" t="str">
        <x:v>All 32 registered owner APIs and all static owner routes are audited; complete evidence is preserved; the deployed reviewed head passes 32/32 APIs and the current 81-route matrix.</x:v>
      </x:c>
      <x:c r="E12" s="166" t="str">
        <x:v>In Progress</x:v>
      </x:c>
      <x:c r="F12" s="166" t="str">
        <x:v>Critical</x:v>
      </x:c>
      <x:c r="G12" s="166" t="str">
        <x:v>Codex</x:v>
      </x:c>
      <x:c r="H12" s="166" t="str">
        <x:v>Run all 32 authenticated GET contracts, then all 27 routes across 1440, 1280, and 1024; preserve complete failure and cleanup evidence; require 32/32 plus 81/81 after deploy.</x:v>
      </x:c>
      <x:c r="I12" s="166" t="str">
        <x:v>Passed</x:v>
      </x:c>
      <x:c r="J12" s="166" t="str">
        <x:v>Not Needed</x:v>
      </x:c>
      <x:c r="K12" s="166" t="str">
        <x:v>Passed</x:v>
      </x:c>
      <x:c r="L12" s="166" t="str">
        <x:v>Authenticated API; 1440×900; 1280×800; 1024×768</x:v>
      </x:c>
      <x:c r="M12" s="166" t="str">
        <x:v>31/32 live APIs; 3/3 resource lifecycles; provider-safe communications 1/1; 69/78 historical routes</x:v>
      </x:c>
      <x:c r="N12" s="166" t="str">
        <x:v>7f067f4; PR #89</x:v>
      </x:c>
      <x:c r="O12" s="166" t="str">
        <x:v>Requires reviewed deploy and restored GitHub Actions capacity for final live certification.</x:v>
      </x:c>
      <x:c r="P12" s="166" t="str">
        <x:v>Documents/internal communication now have provider-safe persistence, isolation, cleanup, and preference proof. Current production /companies/branches remains the only API contract failure.</x:v>
      </x:c>
      <x:c r="Q12" s="167" t="n">
        <x:v>46215.94097222222</x:v>
      </x:c>
    </x:row>
    <x:row r="13" ht="39.599998474121094" hidden="0" customHeight="1">
      <x:c r="A13" s="166" t="str">
        <x:v>T-008</x:v>
      </x:c>
      <x:c r="B13" s="166" t="str">
        <x:v>Release</x:v>
      </x:c>
      <x:c r="C13" s="166" t="str">
        <x:v>Add change-aware candidate release gate</x:v>
      </x:c>
      <x:c r="D13" s="166" t="str">
        <x:v>Changed files map to exact Guardian journeys and deterministic suites; missing required evidence blocks promotion.</x:v>
      </x:c>
      <x:c r="E13" s="166" t="str">
        <x:v>Done</x:v>
      </x:c>
      <x:c r="F13" s="166" t="str">
        <x:v>Critical</x:v>
      </x:c>
      <x:c r="G13" s="166" t="str">
        <x:v>Codex</x:v>
      </x:c>
      <x:c r="H13" s="166" t="str">
        <x:v>Test file globs, full-blast-radius rules, docs-only selection, and centralized verdict policy.</x:v>
      </x:c>
      <x:c r="I13" s="166" t="str">
        <x:v>Not Needed</x:v>
      </x:c>
      <x:c r="J13" s="166" t="str">
        <x:v>Not Needed</x:v>
      </x:c>
      <x:c r="K13" s="166" t="str">
        <x:v>Passed</x:v>
      </x:c>
      <x:c r="L13" s="166" t="str">
        <x:v>Selected per risk</x:v>
      </x:c>
      <x:c r="M13" s="166" t="str">
        <x:v>/private/tmp/pestflow-desktop-qa-guardian/.github/workflows/desktop-qa-release-gate.yml</x:v>
      </x:c>
      <x:c r="N13" s="166" t="str">
        <x:v>a110f26; PR #89</x:v>
      </x:c>
      <x:c r="O13" s="166"/>
      <x:c r="P13" s="166" t="str">
        <x:v>Release verdict now requires four complete public outcome-oracle rows in addition to selected browser/deterministic evidence.</x:v>
      </x:c>
      <x:c r="Q13" s="167" t="n">
        <x:v>46215.27099571759</x:v>
      </x:c>
    </x:row>
    <x:row r="14" ht="66" hidden="0" customHeight="1">
      <x:c r="A14" s="166" t="str">
        <x:v>T-009</x:v>
      </x:c>
      <x:c r="B14" s="166" t="str">
        <x:v>Verification</x:v>
      </x:c>
      <x:c r="C14" s="166" t="str">
        <x:v>Complete comprehensive QA and publish review branch</x:v>
      </x:c>
      <x:c r="D14" s="166" t="str">
        <x:v>Unit, build, types, focused lint, workflows, production desktop, and tracker are green; commit/push/PR references are recorded.</x:v>
      </x:c>
      <x:c r="E14" s="166" t="str">
        <x:v>Done</x:v>
      </x:c>
      <x:c r="F14" s="166" t="str">
        <x:v>Critical</x:v>
      </x:c>
      <x:c r="G14" s="166" t="str">
        <x:v>Codex</x:v>
      </x:c>
      <x:c r="H14" s="166" t="str">
        <x:v>Run all 742 unit tests, build, tsc, focused lint, workflow parse, production suite, then commit/push.</x:v>
      </x:c>
      <x:c r="I14" s="166" t="str">
        <x:v>Passed</x:v>
      </x:c>
      <x:c r="J14" s="166" t="str">
        <x:v>Not Needed</x:v>
      </x:c>
      <x:c r="K14" s="166" t="str">
        <x:v>Passed</x:v>
      </x:c>
      <x:c r="L14" s="166" t="str">
        <x:v>1440; 1280; 1024</x:v>
      </x:c>
      <x:c r="M14" s="166" t="str">
        <x:v>https://github.com/gicheru214/pestflow-checkout-rebuild/pull/89</x:v>
      </x:c>
      <x:c r="N14" s="166" t="str">
        <x:v>7f067f4; PR #89</x:v>
      </x:c>
      <x:c r="O14" s="166"/>
      <x:c r="P14" s="166" t="str">
        <x:v>Latest live provider-safe communications run passed 1/1 with 5/5 cleanup; exact-head cloud run 29211754954 was zero-step billing blocked.</x:v>
      </x:c>
      <x:c r="Q14" s="167" t="n">
        <x:v>46215.913194444445</x:v>
      </x:c>
    </x:row>
    <x:row r="15" ht="52.79999923706055" hidden="0" customHeight="1">
      <x:c r="A15" s="166" t="str">
        <x:v>T-010</x:v>
      </x:c>
      <x:c r="B15" s="166" t="str">
        <x:v>Activation</x:v>
      </x:c>
      <x:c r="C15" s="166" t="str">
        <x:v>Configure Browserbase and persistent QA owner context</x:v>
      </x:c>
      <x:c r="D15" s="166" t="str">
        <x:v>GitHub secrets exist and hourly/nightly live Stagehand sessions complete with Browserbase replay evidence.</x:v>
      </x:c>
      <x:c r="E15" s="166" t="str">
        <x:v>Blocked</x:v>
      </x:c>
      <x:c r="F15" s="166" t="str">
        <x:v>Critical</x:v>
      </x:c>
      <x:c r="G15" s="166" t="str">
        <x:v>Trevor</x:v>
      </x:c>
      <x:c r="H15" s="166" t="str">
        <x:v>Add BROWSERBASE_API_KEY, BROWSERBASE_PROJECT_ID, and PESTFLOW_QA_OWNER_CONTEXT_ID, then dispatch tier 0.</x:v>
      </x:c>
      <x:c r="I15" s="166" t="str">
        <x:v>Pending</x:v>
      </x:c>
      <x:c r="J15" s="166" t="str">
        <x:v>Not Needed</x:v>
      </x:c>
      <x:c r="K15" s="166" t="str">
        <x:v>Pending</x:v>
      </x:c>
      <x:c r="L15" s="166" t="str">
        <x:v>1440 first; full matrix nightly</x:v>
      </x:c>
      <x:c r="M15" s="166" t="str">
        <x:v>https://browserbase.com</x:v>
      </x:c>
      <x:c r="N15" s="166"/>
      <x:c r="O15" s="166" t="str">
        <x:v>Browserbase credentials and dedicated PestFlow QA owner context are not available in the local or GitHub environment.</x:v>
      </x:c>
      <x:c r="P15" s="166" t="str">
        <x:v>Authenticated Checkly owner fallback passed at 1366×900; live Stagehand replay/multi-viewport work still requires Browserbase secrets and owner context.</x:v>
      </x:c>
      <x:c r="Q15" s="167" t="n">
        <x:v>46215.27099571759</x:v>
      </x:c>
    </x:row>
    <x:row r="16" ht="39.599998474121094" hidden="0" customHeight="1">
      <x:c r="A16" s="166" t="str">
        <x:v>T-011</x:v>
      </x:c>
      <x:c r="B16" s="166" t="str">
        <x:v>Release</x:v>
      </x:c>
      <x:c r="C16" s="166" t="str">
        <x:v>Wire Guardian gate into deployment promotion and branch protection</x:v>
      </x:c>
      <x:c r="D16" s="166" t="str">
        <x:v>Staging deploy calls the reusable gate and production promotion requires its green result.</x:v>
      </x:c>
      <x:c r="E16" s="166" t="str">
        <x:v>Not Started</x:v>
      </x:c>
      <x:c r="F16" s="166" t="str">
        <x:v>Critical</x:v>
      </x:c>
      <x:c r="G16" s="166" t="str">
        <x:v>Trevor</x:v>
      </x:c>
      <x:c r="H16" s="166" t="str">
        <x:v>Call the reusable candidate gate after Railway deploy with expected_sha and require it before promotion; GitHub branch protection needs a supported plan or public repo.</x:v>
      </x:c>
      <x:c r="I16" s="166" t="str">
        <x:v>Pending</x:v>
      </x:c>
      <x:c r="J16" s="166" t="str">
        <x:v>Not Needed</x:v>
      </x:c>
      <x:c r="K16" s="166" t="str">
        <x:v>Pending</x:v>
      </x:c>
      <x:c r="L16" s="166" t="str">
        <x:v>Risk-selected + full production</x:v>
      </x:c>
      <x:c r="M16" s="166" t="str">
        <x:v>Browser-Base-QA @ 7e2698f; PR #89 @ 7f067f4</x:v>
      </x:c>
      <x:c r="N16" s="166" t="str">
        <x:v>Standalone API executor and complete PRD are current; promotion wiring remains pending.</x:v>
      </x:c>
      <x:c r="O16" s="166" t="str">
        <x:v>Needs Browserbase secrets/context, deploy ownership, and restored GitHub Actions capacity.</x:v>
      </x:c>
      <x:c r="P16" s="166" t="str">
        <x:v>Live reads are 31/32; resource and provider-safe communications lifecycles pass. Deploy reviewed head, then require 32/32 plus 81/81.</x:v>
      </x:c>
      <x:c r="Q16" s="167" t="n">
        <x:v>46215.27099571759</x:v>
      </x:c>
    </x:row>
    <x:row r="17" ht="52.79999923706055" hidden="0" customHeight="1">
      <x:c r="A17" s="166" t="str">
        <x:v>T-012</x:v>
      </x:c>
      <x:c r="B17" s="166" t="str">
        <x:v>Quality Debt</x:v>
      </x:c>
      <x:c r="C17" s="166" t="str">
        <x:v>Pay down repository-wide lint baseline</x:v>
      </x:c>
      <x:c r="D17" s="166" t="str">
        <x:v>Repo-wide eslint is green or an explicit ratchet prevents new debt while tracked legacy violations decline.</x:v>
      </x:c>
      <x:c r="E17" s="166" t="str">
        <x:v>Not Started</x:v>
      </x:c>
      <x:c r="F17" s="166" t="str">
        <x:v>Medium</x:v>
      </x:c>
      <x:c r="G17" s="166" t="str">
        <x:v>Unassigned</x:v>
      </x:c>
      <x:c r="H17" s="166" t="str">
        <x:v>Start with touched-file lint enforcement, then fix high-risk desktop/runtime violations by domain.</x:v>
      </x:c>
      <x:c r="I17" s="166" t="str">
        <x:v>Not Needed</x:v>
      </x:c>
      <x:c r="J17" s="166" t="str">
        <x:v>Not Needed</x:v>
      </x:c>
      <x:c r="K17" s="166" t="str">
        <x:v>Pending</x:v>
      </x:c>
      <x:c r="L17" s="166" t="str">
        <x:v>N/A</x:v>
      </x:c>
      <x:c r="M17" s="166" t="str">
        <x:v>npm run lint: 613 errors, 49 warnings on origin/main baseline</x:v>
      </x:c>
      <x:c r="N17" s="166"/>
      <x:c r="O17" s="166"/>
      <x:c r="P17" s="166" t="str">
        <x:v>Out of scope for the Guardian implementation; recorded rather than hidden.</x:v>
      </x:c>
      <x:c r="Q17" s="167" t="n">
        <x:v>46215.27099571759</x:v>
      </x:c>
    </x:row>
    <x:row r="18" ht="76" hidden="0" customHeight="1">
      <x:c r="A18" s="170" t="str">
        <x:v>T-013</x:v>
      </x:c>
      <x:c r="B18" s="170" t="str">
        <x:v>Follow-up</x:v>
      </x:c>
      <x:c r="C18" s="170" t="str">
        <x:v>Diagnose mobile field signup Checkly timeout</x:v>
      </x:c>
      <x:c r="D18" s="170" t="str">
        <x:v>The isolated mobile email-signup check reliably reaches onboarding, or a confirmed product regression is fixed with permanent proof.</x:v>
      </x:c>
      <x:c r="E18" s="170" t="str">
        <x:v>Done</x:v>
      </x:c>
      <x:c r="F18" s="170" t="str">
        <x:v>High</x:v>
      </x:c>
      <x:c r="G18" s="170" t="str">
        <x:v>Codex</x:v>
      </x:c>
      <x:c r="H18" s="170" t="str">
        <x:v>Completed: scoped assertions to the active auth flow and proved the live result in an isolated cloud run.</x:v>
      </x:c>
      <x:c r="I18" s="170" t="str">
        <x:v>Passed</x:v>
      </x:c>
      <x:c r="J18" s="170" t="str">
        <x:v>Not Needed</x:v>
      </x:c>
      <x:c r="K18" s="170" t="str">
        <x:v>Pushed</x:v>
      </x:c>
      <x:c r="L18" s="170" t="str">
        <x:v>390×844</x:v>
      </x:c>
      <x:c r="M18" s="170" t="str">
        <x:v>https://github.com/gicheru214/pestflow-checkout-rebuild/actions/runs/29203535900</x:v>
      </x:c>
      <x:c r="N18" s="170" t="str">
        <x:v>325541d; PR #89</x:v>
      </x:c>
      <x:c r="O18" s="170" t="str">
        <x:v>No product repair required; retain active-screen regression coverage.</x:v>
      </x:c>
      <x:c r="P18" s="170" t="str">
        <x:v>Run 29203535900 passed 1/1. Prior failure was hidden DOM text, while the visible flow had already reached auth-role.</x:v>
      </x:c>
      <x:c r="Q18" s="171" t="n">
        <x:v>46215.76180555556</x:v>
      </x:c>
    </x:row>
    <x:row r="19" ht="82" hidden="0" customHeight="1">
      <x:c r="A19" s="170" t="str">
        <x:v>T-014</x:v>
      </x:c>
      <x:c r="B19" s="170" t="str">
        <x:v>Performance Follow-up</x:v>
      </x:c>
      <x:c r="C19" s="170" t="str">
        <x:v>Track and eliminate intermittent Reports route readiness</x:v>
      </x:c>
      <x:c r="D19" s="170" t="str">
        <x:v>Scheduled evidence shows Reports readiness is stable, with no recurring 30-second miss; any repeated miss has a measured root cause and product fix.</x:v>
      </x:c>
      <x:c r="E19" s="170" t="str">
        <x:v>In Progress</x:v>
      </x:c>
      <x:c r="F19" s="170" t="str">
        <x:v>High</x:v>
      </x:c>
      <x:c r="G19" s="170" t="str">
        <x:v>Codex</x:v>
      </x:c>
      <x:c r="H19" s="170" t="str">
        <x:v>Restore GitHub runner access, then execute the expanded 27-path owner proof and complete Checkly catalog at the exact final SHA; inspect route timings and first-party network evidence.</x:v>
      </x:c>
      <x:c r="I19" s="170" t="str">
        <x:v>Passed</x:v>
      </x:c>
      <x:c r="J19" s="170" t="str">
        <x:v>Not Needed</x:v>
      </x:c>
      <x:c r="K19" s="170" t="str">
        <x:v>Blocked</x:v>
      </x:c>
      <x:c r="L19" s="170" t="str">
        <x:v>1366×900 cloud; 1440/1280/1024 local</x:v>
      </x:c>
      <x:c r="M19" s="170" t="str">
        <x:v>44/44 policy; 27-path parity; runs 29210282667 and 29210311515</x:v>
      </x:c>
      <x:c r="N19" s="170" t="str">
        <x:v>b10e176; PR #89</x:v>
      </x:c>
      <x:c r="O19" s="170" t="str">
        <x:v>GitHub Actions payment/spending limit prevents cloud job steps from starting.</x:v>
      </x:c>
      <x:c r="P19" s="170" t="str">
        <x:v>The final head includes Move-In Assistant and requires a 27-route cloud confirmation after runner access returns.</x:v>
      </x:c>
      <x:c r="Q19" s="171" t="n">
        <x:v>46215.82638888889</x:v>
      </x:c>
    </x:row>
    <x:row r="20" ht="104" hidden="0" customHeight="1">
      <x:c r="A20" s="170" t="str">
        <x:v>T-015</x:v>
      </x:c>
      <x:c r="B20" s="170" t="str">
        <x:v>Data hygiene</x:v>
      </x:c>
      <x:c r="C20" s="170" t="str">
        <x:v>Inventory and remove historical QA fixtures</x:v>
      </x:c>
      <x:c r="D20" s="170" t="str">
        <x:v>A DB-authorized preview lists exact reserved-domain user/company counts, approved records are deleted transactionally, post-counts are zero, and no non-QA identity is touched.</x:v>
      </x:c>
      <x:c r="E20" s="170" t="str">
        <x:v>In Progress</x:v>
      </x:c>
      <x:c r="F20" s="170" t="str">
        <x:v>High</x:v>
      </x:c>
      <x:c r="G20" s="170" t="str">
        <x:v>Codex</x:v>
      </x:c>
      <x:c r="H20" s="170" t="str">
        <x:v>Completed read-only production inventory and exact dependency counts. Next: obtain explicit deletion authority, prepare a transaction-limited plan from the approved IDs, preview impact, execute only after approval, and verify post-count zero.</x:v>
      </x:c>
      <x:c r="I20" s="170" t="str">
        <x:v>Passed</x:v>
      </x:c>
      <x:c r="J20" s="170" t="str">
        <x:v>Not Needed</x:v>
      </x:c>
      <x:c r="K20" s="170" t="str">
        <x:v>Pushed</x:v>
      </x:c>
      <x:c r="L20" s="170" t="str">
        <x:v>N/A</x:v>
      </x:c>
      <x:c r="M20" s="170" t="str">
        <x:v>55 users/accounts; 22 companies; 66 sessions; 22 customers/jobs/invoices; readOnly=true</x:v>
      </x:c>
      <x:c r="N20" s="170" t="str">
        <x:v>addd1a6; PR #89</x:v>
      </x:c>
      <x:c r="O20" s="170" t="str">
        <x:v>Requires explicit production historical-data deletion authority.</x:v>
      </x:c>
      <x:c r="P20" s="170" t="str">
        <x:v>Inventory is complete and reproducible. No deletion was attempted and no record values were returned.</x:v>
      </x:c>
      <x:c r="Q20" s="171" t="n">
        <x:v>46215.854166666664</x:v>
      </x:c>
    </x:row>
    <x:row r="21" ht="118" customHeight="1">
      <x:c r="A21" s="170" t="str">
        <x:v>T-016</x:v>
      </x:c>
      <x:c r="B21" s="170" t="str">
        <x:v>Production Fix</x:v>
      </x:c>
      <x:c r="C21" s="170" t="str">
        <x:v>Deploy and certify exhaustive desktop bug fixes</x:v>
      </x:c>
      <x:c r="D21" s="170" t="str">
        <x:v>The reviewed fixes are deployed, all 32 owner API contracts pass, all 27 owner routes pass at 1440×900, 1280×800, and 1024×768, and evidence is tied to the deployed SHA.</x:v>
      </x:c>
      <x:c r="E21" s="170" t="str">
        <x:v>Blocked</x:v>
      </x:c>
      <x:c r="F21" s="170" t="str">
        <x:v>Critical</x:v>
      </x:c>
      <x:c r="G21" s="170" t="str">
        <x:v>Trevor + Codex</x:v>
      </x:c>
      <x:c r="H21" s="170" t="str">
        <x:v>Review and deploy PR #89, verify deployed commit identity, rerun the 32-API contract plus 81-route matrix and public oracles, and require every check before closure.</x:v>
      </x:c>
      <x:c r="I21" s="170" t="str">
        <x:v>Pending</x:v>
      </x:c>
      <x:c r="J21" s="170" t="str">
        <x:v>Not Needed</x:v>
      </x:c>
      <x:c r="K21" s="170" t="str">
        <x:v>Pending</x:v>
      </x:c>
      <x:c r="L21" s="170" t="str">
        <x:v>Authenticated API; 1440×900; 1280×800; 1024×768</x:v>
      </x:c>
      <x:c r="M21" s="170" t="str">
        <x:v>31/32 production APIs; resource + communications lifecycles pass; G-013; G-014; G-015; PR #89 @ 7f067f4</x:v>
      </x:c>
      <x:c r="N21" s="170" t="str">
        <x:v>7f067f4; PR #89</x:v>
      </x:c>
      <x:c r="O21" s="170" t="str">
        <x:v>Needs merge/deploy authority, deployed commit identity, and restored GitHub Actions capacity.</x:v>
      </x:c>
      <x:c r="P21" s="170" t="str">
        <x:v>Branch proof now includes Settings/Inventory and provider-safe communication outcomes; current production is not certified.</x:v>
      </x:c>
      <x:c r="Q21" s="171" t="n">
        <x:v>46215.94097222222</x:v>
      </x:c>
    </x:row>
    <x:row r="22">
      <x:c r="A22" s="133"/>
      <x:c r="B22" s="133"/>
      <x:c r="C22" s="133"/>
      <x:c r="D22" s="133"/>
      <x:c r="E22" s="133"/>
      <x:c r="F22" s="133"/>
      <x:c r="G22" s="133"/>
      <x:c r="H22" s="133"/>
      <x:c r="I22" s="133"/>
      <x:c r="J22" s="133"/>
      <x:c r="K22" s="133"/>
      <x:c r="L22" s="133"/>
      <x:c r="M22" s="133"/>
      <x:c r="N22" s="133"/>
      <x:c r="O22" s="133"/>
      <x:c r="P22" s="133"/>
      <x:c r="Q22" s="165"/>
    </x:row>
    <x:row r="23">
      <x:c r="A23" s="133"/>
      <x:c r="B23" s="133"/>
      <x:c r="C23" s="133"/>
      <x:c r="D23" s="133"/>
      <x:c r="E23" s="133"/>
      <x:c r="F23" s="133"/>
      <x:c r="G23" s="133"/>
      <x:c r="H23" s="133"/>
      <x:c r="I23" s="133"/>
      <x:c r="J23" s="133"/>
      <x:c r="K23" s="133"/>
      <x:c r="L23" s="133"/>
      <x:c r="M23" s="133"/>
      <x:c r="N23" s="133"/>
      <x:c r="O23" s="133"/>
      <x:c r="P23" s="133"/>
      <x:c r="Q23" s="165"/>
    </x:row>
    <x:row r="24">
      <x:c r="A24" s="133"/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  <x:c r="M24" s="133"/>
      <x:c r="N24" s="133"/>
      <x:c r="O24" s="133"/>
      <x:c r="P24" s="133"/>
      <x:c r="Q24" s="165"/>
    </x:row>
    <x:row r="25">
      <x:c r="A25" s="133"/>
      <x:c r="B25" s="133"/>
      <x:c r="C25" s="133"/>
      <x:c r="D25" s="133"/>
      <x:c r="E25" s="133"/>
      <x:c r="F25" s="133"/>
      <x:c r="G25" s="133"/>
      <x:c r="H25" s="133"/>
      <x:c r="I25" s="133"/>
      <x:c r="J25" s="133"/>
      <x:c r="K25" s="133"/>
      <x:c r="L25" s="133"/>
      <x:c r="M25" s="133"/>
      <x:c r="N25" s="133"/>
      <x:c r="O25" s="133"/>
      <x:c r="P25" s="133"/>
      <x:c r="Q25" s="165"/>
    </x:row>
    <x:row r="26">
      <x:c r="A26" s="133"/>
      <x:c r="B26" s="133"/>
      <x:c r="C26" s="133"/>
      <x:c r="D26" s="133"/>
      <x:c r="E26" s="133"/>
      <x:c r="F26" s="133"/>
      <x:c r="G26" s="133"/>
      <x:c r="H26" s="133"/>
      <x:c r="I26" s="133"/>
      <x:c r="J26" s="133"/>
      <x:c r="K26" s="133"/>
      <x:c r="L26" s="133"/>
      <x:c r="M26" s="133"/>
      <x:c r="N26" s="133"/>
      <x:c r="O26" s="133"/>
      <x:c r="P26" s="133"/>
      <x:c r="Q26" s="165"/>
    </x:row>
    <x:row r="27">
      <x:c r="A27" s="133"/>
      <x:c r="B27" s="133"/>
      <x:c r="C27" s="133"/>
      <x:c r="D27" s="133"/>
      <x:c r="E27" s="133"/>
      <x:c r="F27" s="133"/>
      <x:c r="G27" s="133"/>
      <x:c r="H27" s="133"/>
      <x:c r="I27" s="133"/>
      <x:c r="J27" s="133"/>
      <x:c r="K27" s="133"/>
      <x:c r="L27" s="133"/>
      <x:c r="M27" s="133"/>
      <x:c r="N27" s="133"/>
      <x:c r="O27" s="133"/>
      <x:c r="P27" s="133"/>
      <x:c r="Q27" s="165"/>
    </x:row>
    <x:row r="28">
      <x:c r="A28" s="133"/>
      <x:c r="B28" s="133"/>
      <x:c r="C28" s="133"/>
      <x:c r="D28" s="133"/>
      <x:c r="E28" s="133"/>
      <x:c r="F28" s="133"/>
      <x:c r="G28" s="133"/>
      <x:c r="H28" s="133"/>
      <x:c r="I28" s="133"/>
      <x:c r="J28" s="133"/>
      <x:c r="K28" s="133"/>
      <x:c r="L28" s="133"/>
      <x:c r="M28" s="133"/>
      <x:c r="N28" s="133"/>
      <x:c r="O28" s="133"/>
      <x:c r="P28" s="133"/>
      <x:c r="Q28" s="165"/>
    </x:row>
    <x:row r="29">
      <x:c r="A29" s="133"/>
      <x:c r="B29" s="133"/>
      <x:c r="C29" s="133"/>
      <x:c r="D29" s="133"/>
      <x:c r="E29" s="133"/>
      <x:c r="F29" s="133"/>
      <x:c r="G29" s="133"/>
      <x:c r="H29" s="133"/>
      <x:c r="I29" s="133"/>
      <x:c r="J29" s="133"/>
      <x:c r="K29" s="133"/>
      <x:c r="L29" s="133"/>
      <x:c r="M29" s="133"/>
      <x:c r="N29" s="133"/>
      <x:c r="O29" s="133"/>
      <x:c r="P29" s="133"/>
      <x:c r="Q29" s="165"/>
    </x:row>
    <x:row r="30">
      <x:c r="A30" s="133"/>
      <x:c r="B30" s="133"/>
      <x:c r="C30" s="133"/>
      <x:c r="D30" s="133"/>
      <x:c r="E30" s="133"/>
      <x:c r="F30" s="133"/>
      <x:c r="G30" s="133"/>
      <x:c r="H30" s="133"/>
      <x:c r="I30" s="133"/>
      <x:c r="J30" s="133"/>
      <x:c r="K30" s="133"/>
      <x:c r="L30" s="133"/>
      <x:c r="M30" s="133"/>
      <x:c r="N30" s="133"/>
      <x:c r="O30" s="133"/>
      <x:c r="P30" s="133"/>
      <x:c r="Q30" s="165"/>
    </x:row>
    <x:row r="31">
      <x:c r="A31" s="133"/>
      <x:c r="B31" s="133"/>
      <x:c r="C31" s="133"/>
      <x:c r="D31" s="133"/>
      <x:c r="E31" s="133"/>
      <x:c r="F31" s="133"/>
      <x:c r="G31" s="133"/>
      <x:c r="H31" s="133"/>
      <x:c r="I31" s="133"/>
      <x:c r="J31" s="133"/>
      <x:c r="K31" s="133"/>
      <x:c r="L31" s="133"/>
      <x:c r="M31" s="133"/>
      <x:c r="N31" s="133"/>
      <x:c r="O31" s="133"/>
      <x:c r="P31" s="133"/>
      <x:c r="Q31" s="165"/>
    </x:row>
    <x:row r="32">
      <x:c r="A32" s="133"/>
      <x:c r="B32" s="133"/>
      <x:c r="C32" s="133"/>
      <x:c r="D32" s="133"/>
      <x:c r="E32" s="133"/>
      <x:c r="F32" s="133"/>
      <x:c r="G32" s="133"/>
      <x:c r="H32" s="133"/>
      <x:c r="I32" s="133"/>
      <x:c r="J32" s="133"/>
      <x:c r="K32" s="133"/>
      <x:c r="L32" s="133"/>
      <x:c r="M32" s="133"/>
      <x:c r="N32" s="133"/>
      <x:c r="O32" s="133"/>
      <x:c r="P32" s="133"/>
      <x:c r="Q32" s="165"/>
    </x:row>
    <x:row r="33">
      <x:c r="A33" s="133"/>
      <x:c r="B33" s="133"/>
      <x:c r="C33" s="133"/>
      <x:c r="D33" s="133"/>
      <x:c r="E33" s="133"/>
      <x:c r="F33" s="133"/>
      <x:c r="G33" s="133"/>
      <x:c r="H33" s="133"/>
      <x:c r="I33" s="133"/>
      <x:c r="J33" s="133"/>
      <x:c r="K33" s="133"/>
      <x:c r="L33" s="133"/>
      <x:c r="M33" s="133"/>
      <x:c r="N33" s="133"/>
      <x:c r="O33" s="133"/>
      <x:c r="P33" s="133"/>
      <x:c r="Q33" s="165"/>
    </x:row>
    <x:row r="34">
      <x:c r="A34" s="133"/>
      <x:c r="B34" s="133"/>
      <x:c r="C34" s="133"/>
      <x:c r="D34" s="133"/>
      <x:c r="E34" s="133"/>
      <x:c r="F34" s="133"/>
      <x:c r="G34" s="133"/>
      <x:c r="H34" s="133"/>
      <x:c r="I34" s="133"/>
      <x:c r="J34" s="133"/>
      <x:c r="K34" s="133"/>
      <x:c r="L34" s="133"/>
      <x:c r="M34" s="133"/>
      <x:c r="N34" s="133"/>
      <x:c r="O34" s="133"/>
      <x:c r="P34" s="133"/>
      <x:c r="Q34" s="165"/>
    </x:row>
    <x:row r="35">
      <x:c r="A35" s="133"/>
      <x:c r="B35" s="133"/>
      <x:c r="C35" s="133"/>
      <x:c r="D35" s="133"/>
      <x:c r="E35" s="133"/>
      <x:c r="F35" s="133"/>
      <x:c r="G35" s="133"/>
      <x:c r="H35" s="133"/>
      <x:c r="I35" s="133"/>
      <x:c r="J35" s="133"/>
      <x:c r="K35" s="133"/>
      <x:c r="L35" s="133"/>
      <x:c r="M35" s="133"/>
      <x:c r="N35" s="133"/>
      <x:c r="O35" s="133"/>
      <x:c r="P35" s="133"/>
      <x:c r="Q35" s="165"/>
    </x:row>
    <x:row r="36">
      <x:c r="A36" s="133"/>
      <x:c r="B36" s="133"/>
      <x:c r="C36" s="133"/>
      <x:c r="D36" s="133"/>
      <x:c r="E36" s="133"/>
      <x:c r="F36" s="133"/>
      <x:c r="G36" s="133"/>
      <x:c r="H36" s="133"/>
      <x:c r="I36" s="133"/>
      <x:c r="J36" s="133"/>
      <x:c r="K36" s="133"/>
      <x:c r="L36" s="133"/>
      <x:c r="M36" s="133"/>
      <x:c r="N36" s="133"/>
      <x:c r="O36" s="133"/>
      <x:c r="P36" s="133"/>
      <x:c r="Q36" s="165"/>
    </x:row>
    <x:row r="37">
      <x:c r="A37" s="133"/>
      <x:c r="B37" s="133"/>
      <x:c r="C37" s="133"/>
      <x:c r="D37" s="133"/>
      <x:c r="E37" s="133"/>
      <x:c r="F37" s="133"/>
      <x:c r="G37" s="133"/>
      <x:c r="H37" s="133"/>
      <x:c r="I37" s="133"/>
      <x:c r="J37" s="133"/>
      <x:c r="K37" s="133"/>
      <x:c r="L37" s="133"/>
      <x:c r="M37" s="133"/>
      <x:c r="N37" s="133"/>
      <x:c r="O37" s="133"/>
      <x:c r="P37" s="133"/>
      <x:c r="Q37" s="165"/>
    </x:row>
    <x:row r="38">
      <x:c r="A38" s="133"/>
      <x:c r="B38" s="133"/>
      <x:c r="C38" s="133"/>
      <x:c r="D38" s="133"/>
      <x:c r="E38" s="133"/>
      <x:c r="F38" s="133"/>
      <x:c r="G38" s="133"/>
      <x:c r="H38" s="133"/>
      <x:c r="I38" s="133"/>
      <x:c r="J38" s="133"/>
      <x:c r="K38" s="133"/>
      <x:c r="L38" s="133"/>
      <x:c r="M38" s="133"/>
      <x:c r="N38" s="133"/>
      <x:c r="O38" s="133"/>
      <x:c r="P38" s="133"/>
      <x:c r="Q38" s="165"/>
    </x:row>
    <x:row r="39">
      <x:c r="A39" s="133"/>
      <x:c r="B39" s="133"/>
      <x:c r="C39" s="133"/>
      <x:c r="D39" s="133"/>
      <x:c r="E39" s="133"/>
      <x:c r="F39" s="133"/>
      <x:c r="G39" s="133"/>
      <x:c r="H39" s="133"/>
      <x:c r="I39" s="133"/>
      <x:c r="J39" s="133"/>
      <x:c r="K39" s="133"/>
      <x:c r="L39" s="133"/>
      <x:c r="M39" s="133"/>
      <x:c r="N39" s="133"/>
      <x:c r="O39" s="133"/>
      <x:c r="P39" s="133"/>
      <x:c r="Q39" s="165"/>
    </x:row>
    <x:row r="40">
      <x:c r="A40" s="133"/>
      <x:c r="B40" s="133"/>
      <x:c r="C40" s="133"/>
      <x:c r="D40" s="133"/>
      <x:c r="E40" s="133"/>
      <x:c r="F40" s="133"/>
      <x:c r="G40" s="133"/>
      <x:c r="H40" s="133"/>
      <x:c r="I40" s="133"/>
      <x:c r="J40" s="133"/>
      <x:c r="K40" s="133"/>
      <x:c r="L40" s="133"/>
      <x:c r="M40" s="133"/>
      <x:c r="N40" s="133"/>
      <x:c r="O40" s="133"/>
      <x:c r="P40" s="133"/>
      <x:c r="Q40" s="165"/>
    </x:row>
    <x:row r="41">
      <x:c r="A41" s="133"/>
      <x:c r="B41" s="133"/>
      <x:c r="C41" s="133"/>
      <x:c r="D41" s="133"/>
      <x:c r="E41" s="133"/>
      <x:c r="F41" s="133"/>
      <x:c r="G41" s="133"/>
      <x:c r="H41" s="133"/>
      <x:c r="I41" s="133"/>
      <x:c r="J41" s="133"/>
      <x:c r="K41" s="133"/>
      <x:c r="L41" s="133"/>
      <x:c r="M41" s="133"/>
      <x:c r="N41" s="133"/>
      <x:c r="O41" s="133"/>
      <x:c r="P41" s="133"/>
      <x:c r="Q41" s="165"/>
    </x:row>
    <x:row r="42">
      <x:c r="A42" s="133"/>
      <x:c r="B42" s="133"/>
      <x:c r="C42" s="133"/>
      <x:c r="D42" s="133"/>
      <x:c r="E42" s="133"/>
      <x:c r="F42" s="133"/>
      <x:c r="G42" s="133"/>
      <x:c r="H42" s="133"/>
      <x:c r="I42" s="133"/>
      <x:c r="J42" s="133"/>
      <x:c r="K42" s="133"/>
      <x:c r="L42" s="133"/>
      <x:c r="M42" s="133"/>
      <x:c r="N42" s="133"/>
      <x:c r="O42" s="133"/>
      <x:c r="P42" s="133"/>
      <x:c r="Q42" s="165"/>
    </x:row>
    <x:row r="43">
      <x:c r="A43" s="133"/>
      <x:c r="B43" s="133"/>
      <x:c r="C43" s="133"/>
      <x:c r="D43" s="133"/>
      <x:c r="E43" s="133"/>
      <x:c r="F43" s="133"/>
      <x:c r="G43" s="133"/>
      <x:c r="H43" s="133"/>
      <x:c r="I43" s="133"/>
      <x:c r="J43" s="133"/>
      <x:c r="K43" s="133"/>
      <x:c r="L43" s="133"/>
      <x:c r="M43" s="133"/>
      <x:c r="N43" s="133"/>
      <x:c r="O43" s="133"/>
      <x:c r="P43" s="133"/>
      <x:c r="Q43" s="165"/>
    </x:row>
    <x:row r="44">
      <x:c r="A44" s="133"/>
      <x:c r="B44" s="133"/>
      <x:c r="C44" s="133"/>
      <x:c r="D44" s="133"/>
      <x:c r="E44" s="133"/>
      <x:c r="F44" s="133"/>
      <x:c r="G44" s="133"/>
      <x:c r="H44" s="133"/>
      <x:c r="I44" s="133"/>
      <x:c r="J44" s="133"/>
      <x:c r="K44" s="133"/>
      <x:c r="L44" s="133"/>
      <x:c r="M44" s="133"/>
      <x:c r="N44" s="133"/>
      <x:c r="O44" s="133"/>
      <x:c r="P44" s="133"/>
      <x:c r="Q44" s="165"/>
    </x:row>
    <x:row r="45">
      <x:c r="A45" s="133"/>
      <x:c r="B45" s="133"/>
      <x:c r="C45" s="133"/>
      <x:c r="D45" s="133"/>
      <x:c r="E45" s="133"/>
      <x:c r="F45" s="133"/>
      <x:c r="G45" s="133"/>
      <x:c r="H45" s="133"/>
      <x:c r="I45" s="133"/>
      <x:c r="J45" s="133"/>
      <x:c r="K45" s="133"/>
      <x:c r="L45" s="133"/>
      <x:c r="M45" s="133"/>
      <x:c r="N45" s="133"/>
      <x:c r="O45" s="133"/>
      <x:c r="P45" s="133"/>
      <x:c r="Q45" s="165"/>
    </x:row>
    <x:row r="46">
      <x:c r="A46" s="133"/>
      <x:c r="B46" s="133"/>
      <x:c r="C46" s="133"/>
      <x:c r="D46" s="133"/>
      <x:c r="E46" s="133"/>
      <x:c r="F46" s="133"/>
      <x:c r="G46" s="133"/>
      <x:c r="H46" s="133"/>
      <x:c r="I46" s="133"/>
      <x:c r="J46" s="133"/>
      <x:c r="K46" s="133"/>
      <x:c r="L46" s="133"/>
      <x:c r="M46" s="133"/>
      <x:c r="N46" s="133"/>
      <x:c r="O46" s="133"/>
      <x:c r="P46" s="133"/>
      <x:c r="Q46" s="165"/>
    </x:row>
    <x:row r="47">
      <x:c r="A47" s="133"/>
      <x:c r="B47" s="133"/>
      <x:c r="C47" s="133"/>
      <x:c r="D47" s="133"/>
      <x:c r="E47" s="133"/>
      <x:c r="F47" s="133"/>
      <x:c r="G47" s="133"/>
      <x:c r="H47" s="133"/>
      <x:c r="I47" s="133"/>
      <x:c r="J47" s="133"/>
      <x:c r="K47" s="133"/>
      <x:c r="L47" s="133"/>
      <x:c r="M47" s="133"/>
      <x:c r="N47" s="133"/>
      <x:c r="O47" s="133"/>
      <x:c r="P47" s="133"/>
      <x:c r="Q47" s="165"/>
    </x:row>
    <x:row r="48">
      <x:c r="A48" s="133"/>
      <x:c r="B48" s="133"/>
      <x:c r="C48" s="133"/>
      <x:c r="D48" s="133"/>
      <x:c r="E48" s="133"/>
      <x:c r="F48" s="133"/>
      <x:c r="G48" s="133"/>
      <x:c r="H48" s="133"/>
      <x:c r="I48" s="133"/>
      <x:c r="J48" s="133"/>
      <x:c r="K48" s="133"/>
      <x:c r="L48" s="133"/>
      <x:c r="M48" s="133"/>
      <x:c r="N48" s="133"/>
      <x:c r="O48" s="133"/>
      <x:c r="P48" s="133"/>
      <x:c r="Q48" s="165"/>
    </x:row>
    <x:row r="49">
      <x:c r="A49" s="133"/>
      <x:c r="B49" s="133"/>
      <x:c r="C49" s="133"/>
      <x:c r="D49" s="133"/>
      <x:c r="E49" s="133"/>
      <x:c r="F49" s="133"/>
      <x:c r="G49" s="133"/>
      <x:c r="H49" s="133"/>
      <x:c r="I49" s="133"/>
      <x:c r="J49" s="133"/>
      <x:c r="K49" s="133"/>
      <x:c r="L49" s="133"/>
      <x:c r="M49" s="133"/>
      <x:c r="N49" s="133"/>
      <x:c r="O49" s="133"/>
      <x:c r="P49" s="133"/>
      <x:c r="Q49" s="165"/>
    </x:row>
    <x:row r="50">
      <x:c r="A50" s="133"/>
      <x:c r="B50" s="133"/>
      <x:c r="C50" s="133"/>
      <x:c r="D50" s="133"/>
      <x:c r="E50" s="133"/>
      <x:c r="F50" s="133"/>
      <x:c r="G50" s="133"/>
      <x:c r="H50" s="133"/>
      <x:c r="I50" s="133"/>
      <x:c r="J50" s="133"/>
      <x:c r="K50" s="133"/>
      <x:c r="L50" s="133"/>
      <x:c r="M50" s="133"/>
      <x:c r="N50" s="133"/>
      <x:c r="O50" s="133"/>
      <x:c r="P50" s="133"/>
      <x:c r="Q50" s="165"/>
    </x:row>
    <x:row r="51">
      <x:c r="A51" s="133"/>
      <x:c r="B51" s="133"/>
      <x:c r="C51" s="133"/>
      <x:c r="D51" s="133"/>
      <x:c r="E51" s="133"/>
      <x:c r="F51" s="133"/>
      <x:c r="G51" s="133"/>
      <x:c r="H51" s="133"/>
      <x:c r="I51" s="133"/>
      <x:c r="J51" s="133"/>
      <x:c r="K51" s="133"/>
      <x:c r="L51" s="133"/>
      <x:c r="M51" s="133"/>
      <x:c r="N51" s="133"/>
      <x:c r="O51" s="133"/>
      <x:c r="P51" s="133"/>
      <x:c r="Q51" s="165"/>
    </x:row>
    <x:row r="52">
      <x:c r="A52" s="133"/>
      <x:c r="B52" s="133"/>
      <x:c r="C52" s="133"/>
      <x:c r="D52" s="133"/>
      <x:c r="E52" s="133"/>
      <x:c r="F52" s="133"/>
      <x:c r="G52" s="133"/>
      <x:c r="H52" s="133"/>
      <x:c r="I52" s="133"/>
      <x:c r="J52" s="133"/>
      <x:c r="K52" s="133"/>
      <x:c r="L52" s="133"/>
      <x:c r="M52" s="133"/>
      <x:c r="N52" s="133"/>
      <x:c r="O52" s="133"/>
      <x:c r="P52" s="133"/>
      <x:c r="Q52" s="165"/>
    </x:row>
    <x:row r="53">
      <x:c r="A53" s="133"/>
      <x:c r="B53" s="133"/>
      <x:c r="C53" s="133"/>
      <x:c r="D53" s="133"/>
      <x:c r="E53" s="133"/>
      <x:c r="F53" s="133"/>
      <x:c r="G53" s="133"/>
      <x:c r="H53" s="133"/>
      <x:c r="I53" s="133"/>
      <x:c r="J53" s="133"/>
      <x:c r="K53" s="133"/>
      <x:c r="L53" s="133"/>
      <x:c r="M53" s="133"/>
      <x:c r="N53" s="133"/>
      <x:c r="O53" s="133"/>
      <x:c r="P53" s="133"/>
      <x:c r="Q53" s="165"/>
    </x:row>
    <x:row r="54">
      <x:c r="A54" s="133"/>
      <x:c r="B54" s="133"/>
      <x:c r="C54" s="133"/>
      <x:c r="D54" s="133"/>
      <x:c r="E54" s="133"/>
      <x:c r="F54" s="133"/>
      <x:c r="G54" s="133"/>
      <x:c r="H54" s="133"/>
      <x:c r="I54" s="133"/>
      <x:c r="J54" s="133"/>
      <x:c r="K54" s="133"/>
      <x:c r="L54" s="133"/>
      <x:c r="M54" s="133"/>
      <x:c r="N54" s="133"/>
      <x:c r="O54" s="133"/>
      <x:c r="P54" s="133"/>
      <x:c r="Q54" s="165"/>
    </x:row>
    <x:row r="55">
      <x:c r="A55" s="133"/>
      <x:c r="B55" s="133"/>
      <x:c r="C55" s="133"/>
      <x:c r="D55" s="133"/>
      <x:c r="E55" s="133"/>
      <x:c r="F55" s="133"/>
      <x:c r="G55" s="133"/>
      <x:c r="H55" s="133"/>
      <x:c r="I55" s="133"/>
      <x:c r="J55" s="133"/>
      <x:c r="K55" s="133"/>
      <x:c r="L55" s="133"/>
      <x:c r="M55" s="133"/>
      <x:c r="N55" s="133"/>
      <x:c r="O55" s="133"/>
      <x:c r="P55" s="133"/>
      <x:c r="Q55" s="165"/>
    </x:row>
    <x:row r="56">
      <x:c r="A56" s="133"/>
      <x:c r="B56" s="133"/>
      <x:c r="C56" s="133"/>
      <x:c r="D56" s="133"/>
      <x:c r="E56" s="133"/>
      <x:c r="F56" s="133"/>
      <x:c r="G56" s="133"/>
      <x:c r="H56" s="133"/>
      <x:c r="I56" s="133"/>
      <x:c r="J56" s="133"/>
      <x:c r="K56" s="133"/>
      <x:c r="L56" s="133"/>
      <x:c r="M56" s="133"/>
      <x:c r="N56" s="133"/>
      <x:c r="O56" s="133"/>
      <x:c r="P56" s="133"/>
      <x:c r="Q56" s="165"/>
    </x:row>
    <x:row r="57">
      <x:c r="A57" s="133"/>
      <x:c r="B57" s="133"/>
      <x:c r="C57" s="133"/>
      <x:c r="D57" s="133"/>
      <x:c r="E57" s="133"/>
      <x:c r="F57" s="133"/>
      <x:c r="G57" s="133"/>
      <x:c r="H57" s="133"/>
      <x:c r="I57" s="133"/>
      <x:c r="J57" s="133"/>
      <x:c r="K57" s="133"/>
      <x:c r="L57" s="133"/>
      <x:c r="M57" s="133"/>
      <x:c r="N57" s="133"/>
      <x:c r="O57" s="133"/>
      <x:c r="P57" s="133"/>
      <x:c r="Q57" s="165"/>
    </x:row>
    <x:row r="58">
      <x:c r="A58" s="133"/>
      <x:c r="B58" s="133"/>
      <x:c r="C58" s="133"/>
      <x:c r="D58" s="133"/>
      <x:c r="E58" s="133"/>
      <x:c r="F58" s="133"/>
      <x:c r="G58" s="133"/>
      <x:c r="H58" s="133"/>
      <x:c r="I58" s="133"/>
      <x:c r="J58" s="133"/>
      <x:c r="K58" s="133"/>
      <x:c r="L58" s="133"/>
      <x:c r="M58" s="133"/>
      <x:c r="N58" s="133"/>
      <x:c r="O58" s="133"/>
      <x:c r="P58" s="133"/>
      <x:c r="Q58" s="165"/>
    </x:row>
    <x:row r="59">
      <x:c r="A59" s="133"/>
      <x:c r="B59" s="133"/>
      <x:c r="C59" s="133"/>
      <x:c r="D59" s="133"/>
      <x:c r="E59" s="133"/>
      <x:c r="F59" s="133"/>
      <x:c r="G59" s="133"/>
      <x:c r="H59" s="133"/>
      <x:c r="I59" s="133"/>
      <x:c r="J59" s="133"/>
      <x:c r="K59" s="133"/>
      <x:c r="L59" s="133"/>
      <x:c r="M59" s="133"/>
      <x:c r="N59" s="133"/>
      <x:c r="O59" s="133"/>
      <x:c r="P59" s="133"/>
      <x:c r="Q59" s="165"/>
    </x:row>
    <x:row r="60">
      <x:c r="A60" s="133"/>
      <x:c r="B60" s="133"/>
      <x:c r="C60" s="133"/>
      <x:c r="D60" s="133"/>
      <x:c r="E60" s="133"/>
      <x:c r="F60" s="133"/>
      <x:c r="G60" s="133"/>
      <x:c r="H60" s="133"/>
      <x:c r="I60" s="133"/>
      <x:c r="J60" s="133"/>
      <x:c r="K60" s="133"/>
      <x:c r="L60" s="133"/>
      <x:c r="M60" s="133"/>
      <x:c r="N60" s="133"/>
      <x:c r="O60" s="133"/>
      <x:c r="P60" s="133"/>
      <x:c r="Q60" s="165"/>
    </x:row>
    <x:row r="61">
      <x:c r="A61" s="133"/>
      <x:c r="B61" s="133"/>
      <x:c r="C61" s="133"/>
      <x:c r="D61" s="133"/>
      <x:c r="E61" s="133"/>
      <x:c r="F61" s="133"/>
      <x:c r="G61" s="133"/>
      <x:c r="H61" s="133"/>
      <x:c r="I61" s="133"/>
      <x:c r="J61" s="133"/>
      <x:c r="K61" s="133"/>
      <x:c r="L61" s="133"/>
      <x:c r="M61" s="133"/>
      <x:c r="N61" s="133"/>
      <x:c r="O61" s="133"/>
      <x:c r="P61" s="133"/>
      <x:c r="Q61" s="165"/>
    </x:row>
    <x:row r="62">
      <x:c r="A62" s="133"/>
      <x:c r="B62" s="133"/>
      <x:c r="C62" s="133"/>
      <x:c r="D62" s="133"/>
      <x:c r="E62" s="133"/>
      <x:c r="F62" s="133"/>
      <x:c r="G62" s="133"/>
      <x:c r="H62" s="133"/>
      <x:c r="I62" s="133"/>
      <x:c r="J62" s="133"/>
      <x:c r="K62" s="133"/>
      <x:c r="L62" s="133"/>
      <x:c r="M62" s="133"/>
      <x:c r="N62" s="133"/>
      <x:c r="O62" s="133"/>
      <x:c r="P62" s="133"/>
      <x:c r="Q62" s="165"/>
    </x:row>
    <x:row r="63">
      <x:c r="A63" s="133"/>
      <x:c r="B63" s="133"/>
      <x:c r="C63" s="133"/>
      <x:c r="D63" s="133"/>
      <x:c r="E63" s="133"/>
      <x:c r="F63" s="133"/>
      <x:c r="G63" s="133"/>
      <x:c r="H63" s="133"/>
      <x:c r="I63" s="133"/>
      <x:c r="J63" s="133"/>
      <x:c r="K63" s="133"/>
      <x:c r="L63" s="133"/>
      <x:c r="M63" s="133"/>
      <x:c r="N63" s="133"/>
      <x:c r="O63" s="133"/>
      <x:c r="P63" s="133"/>
      <x:c r="Q63" s="165"/>
    </x:row>
    <x:row r="64">
      <x:c r="A64" s="133"/>
      <x:c r="B64" s="133"/>
      <x:c r="C64" s="133"/>
      <x:c r="D64" s="133"/>
      <x:c r="E64" s="133"/>
      <x:c r="F64" s="133"/>
      <x:c r="G64" s="133"/>
      <x:c r="H64" s="133"/>
      <x:c r="I64" s="133"/>
      <x:c r="J64" s="133"/>
      <x:c r="K64" s="133"/>
      <x:c r="L64" s="133"/>
      <x:c r="M64" s="133"/>
      <x:c r="N64" s="133"/>
      <x:c r="O64" s="133"/>
      <x:c r="P64" s="133"/>
      <x:c r="Q64" s="165"/>
    </x:row>
    <x:row r="65">
      <x:c r="A65" s="133"/>
      <x:c r="B65" s="133"/>
      <x:c r="C65" s="133"/>
      <x:c r="D65" s="133"/>
      <x:c r="E65" s="133"/>
      <x:c r="F65" s="133"/>
      <x:c r="G65" s="133"/>
      <x:c r="H65" s="133"/>
      <x:c r="I65" s="133"/>
      <x:c r="J65" s="133"/>
      <x:c r="K65" s="133"/>
      <x:c r="L65" s="133"/>
      <x:c r="M65" s="133"/>
      <x:c r="N65" s="133"/>
      <x:c r="O65" s="133"/>
      <x:c r="P65" s="133"/>
      <x:c r="Q65" s="165"/>
    </x:row>
    <x:row r="66">
      <x:c r="A66" s="133"/>
      <x:c r="B66" s="133"/>
      <x:c r="C66" s="133"/>
      <x:c r="D66" s="133"/>
      <x:c r="E66" s="133"/>
      <x:c r="F66" s="133"/>
      <x:c r="G66" s="133"/>
      <x:c r="H66" s="133"/>
      <x:c r="I66" s="133"/>
      <x:c r="J66" s="133"/>
      <x:c r="K66" s="133"/>
      <x:c r="L66" s="133"/>
      <x:c r="M66" s="133"/>
      <x:c r="N66" s="133"/>
      <x:c r="O66" s="133"/>
      <x:c r="P66" s="133"/>
      <x:c r="Q66" s="165"/>
    </x:row>
    <x:row r="67">
      <x:c r="A67" s="133"/>
      <x:c r="B67" s="133"/>
      <x:c r="C67" s="133"/>
      <x:c r="D67" s="133"/>
      <x:c r="E67" s="133"/>
      <x:c r="F67" s="133"/>
      <x:c r="G67" s="133"/>
      <x:c r="H67" s="133"/>
      <x:c r="I67" s="133"/>
      <x:c r="J67" s="133"/>
      <x:c r="K67" s="133"/>
      <x:c r="L67" s="133"/>
      <x:c r="M67" s="133"/>
      <x:c r="N67" s="133"/>
      <x:c r="O67" s="133"/>
      <x:c r="P67" s="133"/>
      <x:c r="Q67" s="165"/>
    </x:row>
    <x:row r="68">
      <x:c r="A68" s="133"/>
      <x:c r="B68" s="133"/>
      <x:c r="C68" s="133"/>
      <x:c r="D68" s="133"/>
      <x:c r="E68" s="133"/>
      <x:c r="F68" s="133"/>
      <x:c r="G68" s="133"/>
      <x:c r="H68" s="133"/>
      <x:c r="I68" s="133"/>
      <x:c r="J68" s="133"/>
      <x:c r="K68" s="133"/>
      <x:c r="L68" s="133"/>
      <x:c r="M68" s="133"/>
      <x:c r="N68" s="133"/>
      <x:c r="O68" s="133"/>
      <x:c r="P68" s="133"/>
      <x:c r="Q68" s="165"/>
    </x:row>
    <x:row r="69">
      <x:c r="A69" s="133"/>
      <x:c r="B69" s="133"/>
      <x:c r="C69" s="133"/>
      <x:c r="D69" s="133"/>
      <x:c r="E69" s="133"/>
      <x:c r="F69" s="133"/>
      <x:c r="G69" s="133"/>
      <x:c r="H69" s="133"/>
      <x:c r="I69" s="133"/>
      <x:c r="J69" s="133"/>
      <x:c r="K69" s="133"/>
      <x:c r="L69" s="133"/>
      <x:c r="M69" s="133"/>
      <x:c r="N69" s="133"/>
      <x:c r="O69" s="133"/>
      <x:c r="P69" s="133"/>
      <x:c r="Q69" s="165"/>
    </x:row>
    <x:row r="70">
      <x:c r="A70" s="133"/>
      <x:c r="B70" s="133"/>
      <x:c r="C70" s="133"/>
      <x:c r="D70" s="133"/>
      <x:c r="E70" s="133"/>
      <x:c r="F70" s="133"/>
      <x:c r="G70" s="133"/>
      <x:c r="H70" s="133"/>
      <x:c r="I70" s="133"/>
      <x:c r="J70" s="133"/>
      <x:c r="K70" s="133"/>
      <x:c r="L70" s="133"/>
      <x:c r="M70" s="133"/>
      <x:c r="N70" s="133"/>
      <x:c r="O70" s="133"/>
      <x:c r="P70" s="133"/>
      <x:c r="Q70" s="165"/>
    </x:row>
    <x:row r="71">
      <x:c r="A71" s="133"/>
      <x:c r="B71" s="133"/>
      <x:c r="C71" s="133"/>
      <x:c r="D71" s="133"/>
      <x:c r="E71" s="133"/>
      <x:c r="F71" s="133"/>
      <x:c r="G71" s="133"/>
      <x:c r="H71" s="133"/>
      <x:c r="I71" s="133"/>
      <x:c r="J71" s="133"/>
      <x:c r="K71" s="133"/>
      <x:c r="L71" s="133"/>
      <x:c r="M71" s="133"/>
      <x:c r="N71" s="133"/>
      <x:c r="O71" s="133"/>
      <x:c r="P71" s="133"/>
      <x:c r="Q71" s="165"/>
    </x:row>
    <x:row r="72">
      <x:c r="A72" s="133"/>
      <x:c r="B72" s="133"/>
      <x:c r="C72" s="133"/>
      <x:c r="D72" s="133"/>
      <x:c r="E72" s="133"/>
      <x:c r="F72" s="133"/>
      <x:c r="G72" s="133"/>
      <x:c r="H72" s="133"/>
      <x:c r="I72" s="133"/>
      <x:c r="J72" s="133"/>
      <x:c r="K72" s="133"/>
      <x:c r="L72" s="133"/>
      <x:c r="M72" s="133"/>
      <x:c r="N72" s="133"/>
      <x:c r="O72" s="133"/>
      <x:c r="P72" s="133"/>
      <x:c r="Q72" s="165"/>
    </x:row>
    <x:row r="73">
      <x:c r="A73" s="133"/>
      <x:c r="B73" s="133"/>
      <x:c r="C73" s="133"/>
      <x:c r="D73" s="133"/>
      <x:c r="E73" s="133"/>
      <x:c r="F73" s="133"/>
      <x:c r="G73" s="133"/>
      <x:c r="H73" s="133"/>
      <x:c r="I73" s="133"/>
      <x:c r="J73" s="133"/>
      <x:c r="K73" s="133"/>
      <x:c r="L73" s="133"/>
      <x:c r="M73" s="133"/>
      <x:c r="N73" s="133"/>
      <x:c r="O73" s="133"/>
      <x:c r="P73" s="133"/>
      <x:c r="Q73" s="165"/>
    </x:row>
    <x:row r="74">
      <x:c r="A74" s="133"/>
      <x:c r="B74" s="133"/>
      <x:c r="C74" s="133"/>
      <x:c r="D74" s="133"/>
      <x:c r="E74" s="133"/>
      <x:c r="F74" s="133"/>
      <x:c r="G74" s="133"/>
      <x:c r="H74" s="133"/>
      <x:c r="I74" s="133"/>
      <x:c r="J74" s="133"/>
      <x:c r="K74" s="133"/>
      <x:c r="L74" s="133"/>
      <x:c r="M74" s="133"/>
      <x:c r="N74" s="133"/>
      <x:c r="O74" s="133"/>
      <x:c r="P74" s="133"/>
      <x:c r="Q74" s="165"/>
    </x:row>
    <x:row r="75">
      <x:c r="A75" s="133"/>
      <x:c r="B75" s="133"/>
      <x:c r="C75" s="133"/>
      <x:c r="D75" s="133"/>
      <x:c r="E75" s="133"/>
      <x:c r="F75" s="133"/>
      <x:c r="G75" s="133"/>
      <x:c r="H75" s="133"/>
      <x:c r="I75" s="133"/>
      <x:c r="J75" s="133"/>
      <x:c r="K75" s="133"/>
      <x:c r="L75" s="133"/>
      <x:c r="M75" s="133"/>
      <x:c r="N75" s="133"/>
      <x:c r="O75" s="133"/>
      <x:c r="P75" s="133"/>
      <x:c r="Q75" s="165"/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33"/>
      <x:c r="J76" s="133"/>
      <x:c r="K76" s="133"/>
      <x:c r="L76" s="133"/>
      <x:c r="M76" s="133"/>
      <x:c r="N76" s="133"/>
      <x:c r="O76" s="133"/>
      <x:c r="P76" s="133"/>
      <x:c r="Q76" s="165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33"/>
      <x:c r="J77" s="133"/>
      <x:c r="K77" s="133"/>
      <x:c r="L77" s="133"/>
      <x:c r="M77" s="133"/>
      <x:c r="N77" s="133"/>
      <x:c r="O77" s="133"/>
      <x:c r="P77" s="133"/>
      <x:c r="Q77" s="165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33"/>
      <x:c r="J78" s="133"/>
      <x:c r="K78" s="133"/>
      <x:c r="L78" s="133"/>
      <x:c r="M78" s="133"/>
      <x:c r="N78" s="133"/>
      <x:c r="O78" s="133"/>
      <x:c r="P78" s="133"/>
      <x:c r="Q78" s="165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33"/>
      <x:c r="J79" s="133"/>
      <x:c r="K79" s="133"/>
      <x:c r="L79" s="133"/>
      <x:c r="M79" s="133"/>
      <x:c r="N79" s="133"/>
      <x:c r="O79" s="133"/>
      <x:c r="P79" s="133"/>
      <x:c r="Q79" s="165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33"/>
      <x:c r="J80" s="133"/>
      <x:c r="K80" s="133"/>
      <x:c r="L80" s="133"/>
      <x:c r="M80" s="133"/>
      <x:c r="N80" s="133"/>
      <x:c r="O80" s="133"/>
      <x:c r="P80" s="133"/>
      <x:c r="Q80" s="165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33"/>
      <x:c r="J81" s="133"/>
      <x:c r="K81" s="133"/>
      <x:c r="L81" s="133"/>
      <x:c r="M81" s="133"/>
      <x:c r="N81" s="133"/>
      <x:c r="O81" s="133"/>
      <x:c r="P81" s="133"/>
      <x:c r="Q81" s="165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33"/>
      <x:c r="J82" s="133"/>
      <x:c r="K82" s="133"/>
      <x:c r="L82" s="133"/>
      <x:c r="M82" s="133"/>
      <x:c r="N82" s="133"/>
      <x:c r="O82" s="133"/>
      <x:c r="P82" s="133"/>
      <x:c r="Q82" s="165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33"/>
      <x:c r="J83" s="133"/>
      <x:c r="K83" s="133"/>
      <x:c r="L83" s="133"/>
      <x:c r="M83" s="133"/>
      <x:c r="N83" s="133"/>
      <x:c r="O83" s="133"/>
      <x:c r="P83" s="133"/>
      <x:c r="Q83" s="165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33"/>
      <x:c r="J84" s="133"/>
      <x:c r="K84" s="133"/>
      <x:c r="L84" s="133"/>
      <x:c r="M84" s="133"/>
      <x:c r="N84" s="133"/>
      <x:c r="O84" s="133"/>
      <x:c r="P84" s="133"/>
      <x:c r="Q84" s="165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33"/>
      <x:c r="J85" s="133"/>
      <x:c r="K85" s="133"/>
      <x:c r="L85" s="133"/>
      <x:c r="M85" s="133"/>
      <x:c r="N85" s="133"/>
      <x:c r="O85" s="133"/>
      <x:c r="P85" s="133"/>
      <x:c r="Q85" s="165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33"/>
      <x:c r="J86" s="133"/>
      <x:c r="K86" s="133"/>
      <x:c r="L86" s="133"/>
      <x:c r="M86" s="133"/>
      <x:c r="N86" s="133"/>
      <x:c r="O86" s="133"/>
      <x:c r="P86" s="133"/>
      <x:c r="Q86" s="165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  <x:c r="O87" s="133"/>
      <x:c r="P87" s="133"/>
      <x:c r="Q87" s="165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  <x:c r="O88" s="133"/>
      <x:c r="P88" s="133"/>
      <x:c r="Q88" s="165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  <x:c r="O89" s="133"/>
      <x:c r="P89" s="133"/>
      <x:c r="Q89" s="165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  <x:c r="O90" s="133"/>
      <x:c r="P90" s="133"/>
      <x:c r="Q90" s="165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  <x:c r="O91" s="133"/>
      <x:c r="P91" s="133"/>
      <x:c r="Q91" s="165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  <x:c r="O92" s="133"/>
      <x:c r="P92" s="133"/>
      <x:c r="Q92" s="165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  <x:c r="O93" s="133"/>
      <x:c r="P93" s="133"/>
      <x:c r="Q93" s="165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  <x:c r="O94" s="133"/>
      <x:c r="P94" s="133"/>
      <x:c r="Q94" s="165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  <x:c r="O95" s="133"/>
      <x:c r="P95" s="133"/>
      <x:c r="Q95" s="165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  <x:c r="O96" s="133"/>
      <x:c r="P96" s="133"/>
      <x:c r="Q96" s="165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  <x:c r="O97" s="133"/>
      <x:c r="P97" s="133"/>
      <x:c r="Q97" s="165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  <x:c r="O98" s="133"/>
      <x:c r="P98" s="133"/>
      <x:c r="Q98" s="165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  <x:c r="O99" s="133"/>
      <x:c r="P99" s="133"/>
      <x:c r="Q99" s="165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  <x:c r="O100" s="133"/>
      <x:c r="P100" s="133"/>
      <x:c r="Q100" s="165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  <x:c r="O101" s="133"/>
      <x:c r="P101" s="133"/>
      <x:c r="Q101" s="165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  <x:c r="O102" s="133"/>
      <x:c r="P102" s="133"/>
      <x:c r="Q102" s="165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  <x:c r="O103" s="133"/>
      <x:c r="P103" s="133"/>
      <x:c r="Q103" s="165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  <x:c r="O104" s="133"/>
      <x:c r="P104" s="133"/>
      <x:c r="Q104" s="165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  <x:c r="O105" s="133"/>
      <x:c r="P105" s="133"/>
      <x:c r="Q105" s="165"/>
    </x:row>
    <x:row r="106">
      <x:c r="Q106" s="164"/>
    </x:row>
    <x:row r="107">
      <x:c r="Q107" s="164"/>
    </x:row>
    <x:row r="108">
      <x:c r="Q108" s="164"/>
    </x:row>
    <x:row r="109">
      <x:c r="Q109" s="164"/>
    </x:row>
    <x:row r="110">
      <x:c r="Q110" s="164"/>
    </x:row>
    <x:row r="111">
      <x:c r="Q111" s="164"/>
    </x:row>
    <x:row r="112">
      <x:c r="Q112" s="164"/>
    </x:row>
    <x:row r="113">
      <x:c r="Q113" s="164"/>
    </x:row>
    <x:row r="114">
      <x:c r="Q114" s="164"/>
    </x:row>
    <x:row r="115">
      <x:c r="Q115" s="164"/>
    </x:row>
    <x:row r="116">
      <x:c r="Q116" s="164"/>
    </x:row>
    <x:row r="117">
      <x:c r="Q117" s="164"/>
    </x:row>
    <x:row r="118">
      <x:c r="Q118" s="164"/>
    </x:row>
    <x:row r="119">
      <x:c r="Q119" s="164"/>
    </x:row>
    <x:row r="120">
      <x:c r="Q120" s="164"/>
    </x:row>
    <x:row r="121">
      <x:c r="Q121" s="164"/>
    </x:row>
    <x:row r="122">
      <x:c r="Q122" s="164"/>
    </x:row>
    <x:row r="123">
      <x:c r="Q123" s="164"/>
    </x:row>
    <x:row r="124">
      <x:c r="Q124" s="164"/>
    </x:row>
    <x:row r="125">
      <x:c r="Q125" s="164"/>
    </x:row>
    <x:row r="126">
      <x:c r="Q126" s="164"/>
    </x:row>
    <x:row r="127">
      <x:c r="Q127" s="164"/>
    </x:row>
    <x:row r="128">
      <x:c r="Q128" s="164"/>
    </x:row>
    <x:row r="129">
      <x:c r="Q129" s="164"/>
    </x:row>
    <x:row r="130">
      <x:c r="Q130" s="164"/>
    </x:row>
    <x:row r="131">
      <x:c r="Q131" s="164"/>
    </x:row>
    <x:row r="132">
      <x:c r="Q132" s="164"/>
    </x:row>
    <x:row r="133">
      <x:c r="Q133" s="164"/>
    </x:row>
    <x:row r="134">
      <x:c r="Q134" s="164"/>
    </x:row>
    <x:row r="135">
      <x:c r="Q135" s="164"/>
    </x:row>
    <x:row r="136">
      <x:c r="Q136" s="164"/>
    </x:row>
    <x:row r="137">
      <x:c r="Q137" s="164"/>
    </x:row>
    <x:row r="138">
      <x:c r="Q138" s="164"/>
    </x:row>
    <x:row r="139">
      <x:c r="Q139" s="164"/>
    </x:row>
    <x:row r="140">
      <x:c r="Q140" s="164"/>
    </x:row>
    <x:row r="141">
      <x:c r="Q141" s="164"/>
    </x:row>
    <x:row r="142">
      <x:c r="Q142" s="164"/>
    </x:row>
    <x:row r="143">
      <x:c r="Q143" s="164"/>
    </x:row>
    <x:row r="144">
      <x:c r="Q144" s="164"/>
    </x:row>
    <x:row r="145">
      <x:c r="Q145" s="164"/>
    </x:row>
    <x:row r="146">
      <x:c r="Q146" s="164"/>
    </x:row>
    <x:row r="147">
      <x:c r="Q147" s="164"/>
    </x:row>
    <x:row r="148">
      <x:c r="Q148" s="164"/>
    </x:row>
    <x:row r="149">
      <x:c r="Q149" s="164"/>
    </x:row>
    <x:row r="150">
      <x:c r="Q150" s="164"/>
    </x:row>
    <x:row r="151">
      <x:c r="Q151" s="164"/>
    </x:row>
    <x:row r="152">
      <x:c r="Q152" s="164"/>
    </x:row>
    <x:row r="153">
      <x:c r="Q153" s="164"/>
    </x:row>
    <x:row r="154">
      <x:c r="Q154" s="164"/>
    </x:row>
    <x:row r="155">
      <x:c r="Q155" s="164"/>
    </x:row>
    <x:row r="156">
      <x:c r="Q156" s="164"/>
    </x:row>
    <x:row r="157">
      <x:c r="Q157" s="164"/>
    </x:row>
    <x:row r="158">
      <x:c r="Q158" s="164"/>
    </x:row>
    <x:row r="159">
      <x:c r="Q159" s="164"/>
    </x:row>
    <x:row r="160">
      <x:c r="Q160" s="164"/>
    </x:row>
    <x:row r="161">
      <x:c r="Q161" s="164"/>
    </x:row>
    <x:row r="162">
      <x:c r="Q162" s="164"/>
    </x:row>
    <x:row r="163">
      <x:c r="Q163" s="164"/>
    </x:row>
    <x:row r="164">
      <x:c r="Q164" s="164"/>
    </x:row>
    <x:row r="165">
      <x:c r="Q165" s="164"/>
    </x:row>
    <x:row r="166">
      <x:c r="Q166" s="164"/>
    </x:row>
    <x:row r="167">
      <x:c r="Q167" s="164"/>
    </x:row>
    <x:row r="168">
      <x:c r="Q168" s="164"/>
    </x:row>
    <x:row r="169">
      <x:c r="Q169" s="164"/>
    </x:row>
    <x:row r="170">
      <x:c r="Q170" s="164"/>
    </x:row>
    <x:row r="171">
      <x:c r="Q171" s="164"/>
    </x:row>
    <x:row r="172">
      <x:c r="Q172" s="164"/>
    </x:row>
    <x:row r="173">
      <x:c r="Q173" s="164"/>
    </x:row>
    <x:row r="174">
      <x:c r="Q174" s="164"/>
    </x:row>
    <x:row r="175">
      <x:c r="Q175" s="164"/>
    </x:row>
    <x:row r="176">
      <x:c r="Q176" s="164"/>
    </x:row>
    <x:row r="177">
      <x:c r="Q177" s="164"/>
    </x:row>
    <x:row r="178">
      <x:c r="Q178" s="164"/>
    </x:row>
    <x:row r="179">
      <x:c r="Q179" s="164"/>
    </x:row>
    <x:row r="180">
      <x:c r="Q180" s="164"/>
    </x:row>
    <x:row r="181">
      <x:c r="Q181" s="164"/>
    </x:row>
    <x:row r="182">
      <x:c r="Q182" s="164"/>
    </x:row>
    <x:row r="183">
      <x:c r="Q183" s="164"/>
    </x:row>
    <x:row r="184">
      <x:c r="Q184" s="164"/>
    </x:row>
    <x:row r="185">
      <x:c r="Q185" s="164"/>
    </x:row>
    <x:row r="186">
      <x:c r="Q186" s="164"/>
    </x:row>
    <x:row r="187">
      <x:c r="Q187" s="164"/>
    </x:row>
    <x:row r="188">
      <x:c r="Q188" s="164"/>
    </x:row>
    <x:row r="189">
      <x:c r="Q189" s="164"/>
    </x:row>
    <x:row r="190">
      <x:c r="Q190" s="164"/>
    </x:row>
    <x:row r="191">
      <x:c r="Q191" s="164"/>
    </x:row>
    <x:row r="192">
      <x:c r="Q192" s="164"/>
    </x:row>
    <x:row r="193">
      <x:c r="Q193" s="164"/>
    </x:row>
    <x:row r="194">
      <x:c r="Q194" s="164"/>
    </x:row>
    <x:row r="195">
      <x:c r="Q195" s="164"/>
    </x:row>
    <x:row r="196">
      <x:c r="Q196" s="164"/>
    </x:row>
    <x:row r="197">
      <x:c r="Q197" s="164"/>
    </x:row>
    <x:row r="198">
      <x:c r="Q198" s="164"/>
    </x:row>
    <x:row r="199">
      <x:c r="Q199" s="164"/>
    </x:row>
    <x:row r="200">
      <x:c r="Q200" s="164"/>
    </x:row>
  </x:sheetData>
  <x:mergeCells>
    <x:mergeCell ref="A1:Q1"/>
    <x:mergeCell ref="A2:Q2"/>
  </x:mergeCells>
  <x:conditionalFormatting sqref="E6:E105">
    <x:cfRule type="containsText" dxfId="0" priority="1" operator="containsText" text="Done"/>
    <x:cfRule type="containsText" dxfId="1" priority="2" operator="containsText" text="Passed"/>
    <x:cfRule type="containsText" dxfId="2" priority="3" operator="containsText" text="In Progress"/>
    <x:cfRule type="containsText" dxfId="3" priority="4" operator="containsText" text="In Review"/>
    <x:cfRule type="containsText" dxfId="4" priority="5" operator="containsText" text="Blocked"/>
    <x:cfRule type="containsText" dxfId="5" priority="6" operator="containsText" text="Failed"/>
    <x:cfRule type="containsText" dxfId="6" priority="7" operator="containsText" text="Not Started"/>
    <x:cfRule type="containsText" dxfId="7" priority="8" operator="containsText" text="Pending"/>
  </x:conditionalFormatting>
  <x:conditionalFormatting sqref="I6:I105">
    <x:cfRule type="containsText" dxfId="8" priority="9" operator="containsText" text="Done"/>
    <x:cfRule type="containsText" dxfId="9" priority="10" operator="containsText" text="Passed"/>
    <x:cfRule type="containsText" dxfId="10" priority="11" operator="containsText" text="In Progress"/>
    <x:cfRule type="containsText" dxfId="11" priority="12" operator="containsText" text="In Review"/>
    <x:cfRule type="containsText" dxfId="12" priority="13" operator="containsText" text="Blocked"/>
    <x:cfRule type="containsText" dxfId="13" priority="14" operator="containsText" text="Failed"/>
    <x:cfRule type="containsText" dxfId="14" priority="15" operator="containsText" text="Not Started"/>
    <x:cfRule type="containsText" dxfId="15" priority="16" operator="containsText" text="Pending"/>
  </x:conditionalFormatting>
  <x:conditionalFormatting sqref="J6:J105">
    <x:cfRule type="containsText" dxfId="16" priority="17" operator="containsText" text="Done"/>
    <x:cfRule type="containsText" dxfId="17" priority="18" operator="containsText" text="Passed"/>
    <x:cfRule type="containsText" dxfId="18" priority="19" operator="containsText" text="In Progress"/>
    <x:cfRule type="containsText" dxfId="19" priority="20" operator="containsText" text="In Review"/>
    <x:cfRule type="containsText" dxfId="20" priority="21" operator="containsText" text="Blocked"/>
    <x:cfRule type="containsText" dxfId="21" priority="22" operator="containsText" text="Failed"/>
    <x:cfRule type="containsText" dxfId="22" priority="23" operator="containsText" text="Not Started"/>
    <x:cfRule type="containsText" dxfId="23" priority="24" operator="containsText" text="Pending"/>
  </x:conditionalFormatting>
  <x:conditionalFormatting sqref="K6:K105">
    <x:cfRule type="containsText" dxfId="24" priority="25" operator="containsText" text="Done"/>
    <x:cfRule type="containsText" dxfId="25" priority="26" operator="containsText" text="Passed"/>
    <x:cfRule type="containsText" dxfId="26" priority="27" operator="containsText" text="In Progress"/>
    <x:cfRule type="containsText" dxfId="27" priority="28" operator="containsText" text="In Review"/>
    <x:cfRule type="containsText" dxfId="28" priority="29" operator="containsText" text="Blocked"/>
    <x:cfRule type="containsText" dxfId="29" priority="30" operator="containsText" text="Failed"/>
    <x:cfRule type="containsText" dxfId="30" priority="31" operator="containsText" text="Not Started"/>
    <x:cfRule type="containsText" dxfId="31" priority="32" operator="containsText" text="Pending"/>
  </x:conditionalFormatting>
  <x:dataValidations count="7">
    <x:dataValidation type="list" sqref="E6:E105">
      <x:formula1>"Not Started,Ready,In Progress,Blocked,In Review,Done"</x:formula1>
    </x:dataValidation>
    <x:dataValidation type="list" sqref="F6:F105">
      <x:formula1>"Critical,High,Medium,Low"</x:formula1>
    </x:dataValidation>
    <x:dataValidation type="list" sqref="I6:I105">
      <x:formula1>"Not Needed,Pending,Passed,Failed,Blocked"</x:formula1>
    </x:dataValidation>
    <x:dataValidation type="list" sqref="J6:J105">
      <x:formula1>"Not Needed,Pending,Passed,Failed,Blocked"</x:formula1>
    </x:dataValidation>
    <x:dataValidation type="list" sqref="K6:K105">
      <x:formula1>"Not Needed,Pending,Passed,Failed,Blocked"</x:formula1>
    </x:dataValidation>
    <x:dataValidation type="list" sqref="E6:E200">
      <x:formula1>"Not Started,In Progress,Blocked,In Review,Done"</x:formula1>
    </x:dataValidation>
    <x:dataValidation type="list" sqref="F6:F200">
      <x:formula1>"Low,Medium,High,Critical"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049563ae474e2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24" hidden="0" customWidth="1"/>
    <x:col min="5" max="5" width="34" hidden="0" customWidth="1"/>
    <x:col min="6" max="6" width="20" hidden="0" customWidth="1"/>
    <x:col min="7" max="7" width="22" hidden="0" customWidth="1"/>
    <x:col min="8" max="8" width="30" hidden="0" customWidth="1"/>
    <x:col min="9" max="9" width="20" hidden="0" customWidth="1"/>
    <x:col min="10" max="10" width="26" hidden="0" customWidth="1"/>
    <x:col min="11" max="11" width="20" hidden="0" customWidth="1"/>
    <x:col min="12" max="12" width="26" hidden="0" customWidth="1"/>
    <x:col min="13" max="13" width="14" hidden="0" customWidth="1"/>
    <x:col min="14" max="14" width="28" hidden="0" customWidth="1"/>
  </x:cols>
  <x:sheetData>
    <x:row r="1" ht="34" customHeight="1">
      <x:c r="A1" s="132" t="str">
        <x:v>Activity Log</x:v>
      </x:c>
      <x:c r="B1" s="132" t="str">
        <x:v>Activity Log</x:v>
      </x:c>
      <x:c r="C1" s="132" t="str">
        <x:v>Activity Log</x:v>
      </x:c>
      <x:c r="D1" s="132" t="str">
        <x:v>Activity Log</x:v>
      </x:c>
      <x:c r="E1" s="132" t="str">
        <x:v>Activity Log</x:v>
      </x:c>
      <x:c r="F1" s="132" t="str">
        <x:v>Activity Log</x:v>
      </x:c>
      <x:c r="G1" s="132" t="str">
        <x:v>Activity Log</x:v>
      </x:c>
      <x:c r="H1" s="132" t="str">
        <x:v>Activity Log</x:v>
      </x:c>
      <x:c r="I1" s="132" t="str">
        <x:v>Activity Log</x:v>
      </x:c>
      <x:c r="J1" s="132" t="str">
        <x:v>Activity Log</x:v>
      </x:c>
      <x:c r="K1" s="132" t="str">
        <x:v>Activity Log</x:v>
      </x:c>
      <x:c r="L1" s="132" t="str">
        <x:v>Activity Log</x:v>
      </x:c>
      <x:c r="M1" s="132" t="str">
        <x:v>Activity Log</x:v>
      </x:c>
      <x:c r="N1" s="132" t="str">
        <x:v>Activity Log</x:v>
      </x:c>
    </x:row>
    <x:row r="2" ht="32" customHeight="1">
      <x:c r="A2" s="7" t="str">
        <x:v>Tracks every meaningful action or checkpoint that moves a task toward its goal. Log decisions, implementation steps, verification, evidence, blockers, and next steps—not every click.</x:v>
      </x:c>
      <x:c r="B2" s="7" t="str">
        <x:v>Tracks every meaningful action or checkpoint that moves a task toward its goal. Log decisions, implementation steps, verification, evidence, blockers, and next steps—not every click.</x:v>
      </x:c>
      <x:c r="C2" s="7" t="str">
        <x:v>Tracks every meaningful action or checkpoint that moves a task toward its goal. Log decisions, implementation steps, verification, evidence, blockers, and next steps—not every click.</x:v>
      </x:c>
      <x:c r="D2" s="7" t="str">
        <x:v>Tracks every meaningful action or checkpoint that moves a task toward its goal. Log decisions, implementation steps, verification, evidence, blockers, and next steps—not every click.</x:v>
      </x:c>
      <x:c r="E2" s="7" t="str">
        <x:v>Tracks every meaningful action or checkpoint that moves a task toward its goal. Log decisions, implementation steps, verification, evidence, blockers, and next steps—not every click.</x:v>
      </x:c>
      <x:c r="F2" s="7" t="str">
        <x:v>Tracks every meaningful action or checkpoint that moves a task toward its goal. Log decisions, implementation steps, verification, evidence, blockers, and next steps—not every click.</x:v>
      </x:c>
      <x:c r="G2" s="7" t="str">
        <x:v>Tracks every meaningful action or checkpoint that moves a task toward its goal. Log decisions, implementation steps, verification, evidence, blockers, and next steps—not every click.</x:v>
      </x:c>
      <x:c r="H2" s="7" t="str">
        <x:v>Tracks every meaningful action or checkpoint that moves a task toward its goal. Log decisions, implementation steps, verification, evidence, blockers, and next steps—not every click.</x:v>
      </x:c>
      <x:c r="I2" s="7" t="str">
        <x:v>Tracks every meaningful action or checkpoint that moves a task toward its goal. Log decisions, implementation steps, verification, evidence, blockers, and next steps—not every click.</x:v>
      </x:c>
      <x:c r="J2" s="7" t="str">
        <x:v>Tracks every meaningful action or checkpoint that moves a task toward its goal. Log decisions, implementation steps, verification, evidence, blockers, and next steps—not every click.</x:v>
      </x:c>
      <x:c r="K2" s="7" t="str">
        <x:v>Tracks every meaningful action or checkpoint that moves a task toward its goal. Log decisions, implementation steps, verification, evidence, blockers, and next steps—not every click.</x:v>
      </x:c>
      <x:c r="L2" s="7" t="str">
        <x:v>Tracks every meaningful action or checkpoint that moves a task toward its goal. Log decisions, implementation steps, verification, evidence, blockers, and next steps—not every click.</x:v>
      </x:c>
      <x:c r="M2" s="7" t="str">
        <x:v>Tracks every meaningful action or checkpoint that moves a task toward its goal. Log decisions, implementation steps, verification, evidence, blockers, and next steps—not every click.</x:v>
      </x:c>
      <x:c r="N2" s="7" t="str">
        <x:v>Tracks every meaningful action or checkpoint that moves a task toward its goal. Log decisions, implementation steps, verification, evidence, blockers, and next steps—not every click.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</x:row>
    <x:row r="5" ht="15" hidden="0" customHeight="1">
      <x:c r="A5" s="160" t="str">
        <x:v>Log ID</x:v>
      </x:c>
      <x:c r="B5" s="161" t="str">
        <x:v>Timestamp</x:v>
      </x:c>
      <x:c r="C5" s="161" t="str">
        <x:v>Task ID</x:v>
      </x:c>
      <x:c r="D5" s="161" t="str">
        <x:v>Goal / Step</x:v>
      </x:c>
      <x:c r="E5" s="161" t="str">
        <x:v>Action Taken</x:v>
      </x:c>
      <x:c r="F5" s="161" t="str">
        <x:v>Surface / Tool</x:v>
      </x:c>
      <x:c r="G5" s="161" t="str">
        <x:v>Result</x:v>
      </x:c>
      <x:c r="H5" s="161" t="str">
        <x:v>Validation Performed</x:v>
      </x:c>
      <x:c r="I5" s="161" t="str">
        <x:v>Device / Viewport</x:v>
      </x:c>
      <x:c r="J5" s="161" t="str">
        <x:v>Evidence / Link</x:v>
      </x:c>
      <x:c r="K5" s="161" t="str">
        <x:v>Commit / Push</x:v>
      </x:c>
      <x:c r="L5" s="161" t="str">
        <x:v>Next Step</x:v>
      </x:c>
      <x:c r="M5" s="161" t="str">
        <x:v>Status</x:v>
      </x:c>
      <x:c r="N5" s="162" t="str">
        <x:v>Notes</x:v>
      </x:c>
    </x:row>
    <x:row r="6" ht="24" hidden="0" customHeight="1">
      <x:c r="A6" s="113" t="str">
        <x:v>AL-001</x:v>
      </x:c>
      <x:c r="B6" s="163" t="n">
        <x:v>46215.22671430556</x:v>
      </x:c>
      <x:c r="C6" s="113" t="str">
        <x:v>T-001</x:v>
      </x:c>
      <x:c r="D6" s="113" t="str">
        <x:v>Confirm preview scope</x:v>
      </x:c>
      <x:c r="E6" s="113" t="str">
        <x:v>Confirmed that this phase only creates the Excel tracker; project execution is intentionally deferred.</x:v>
      </x:c>
      <x:c r="F6" s="113" t="str">
        <x:v>Planning</x:v>
      </x:c>
      <x:c r="G6" s="113" t="str">
        <x:v>Scope locked</x:v>
      </x:c>
      <x:c r="H6" s="113" t="str">
        <x:v>Compared requested behavior with workbook plan.</x:v>
      </x:c>
      <x:c r="I6" s="113" t="str">
        <x:v>N/A</x:v>
      </x:c>
      <x:c r="J6" s="113" t="str"/>
      <x:c r="K6" s="113" t="str"/>
      <x:c r="L6" s="113" t="str">
        <x:v>Design workbook structure.</x:v>
      </x:c>
      <x:c r="M6" s="113" t="str">
        <x:v>Done</x:v>
      </x:c>
      <x:c r="N6" s="113" t="str">
        <x:v>No code or project delivery included.</x:v>
      </x:c>
    </x:row>
    <x:row r="7" ht="24" hidden="0" customHeight="1">
      <x:c r="A7" s="113" t="str">
        <x:v>AL-002</x:v>
      </x:c>
      <x:c r="B7" s="163" t="n">
        <x:v>46215.22671430556</x:v>
      </x:c>
      <x:c r="C7" s="113" t="str">
        <x:v>T-001</x:v>
      </x:c>
      <x:c r="D7" s="113" t="str">
        <x:v>Define tracker architecture</x:v>
      </x:c>
      <x:c r="E7" s="113" t="str">
        <x:v>Defined Overview, Task Tracker, Activity Log, QA Matrix, and Product Gaps tabs.</x:v>
      </x:c>
      <x:c r="F7" s="113" t="str">
        <x:v>Workbook design</x:v>
      </x:c>
      <x:c r="G7" s="113" t="str">
        <x:v>Five-tab structure established</x:v>
      </x:c>
      <x:c r="H7" s="113" t="str">
        <x:v>Checked each tab against the requested workflow.</x:v>
      </x:c>
      <x:c r="I7" s="113" t="str">
        <x:v>Desktop preview</x:v>
      </x:c>
      <x:c r="J7" s="113" t="str"/>
      <x:c r="K7" s="113" t="str"/>
      <x:c r="L7" s="113" t="str">
        <x:v>Build the task table and controls.</x:v>
      </x:c>
      <x:c r="M7" s="113" t="str">
        <x:v>Done</x:v>
      </x:c>
      <x:c r="N7" s="113" t="str">
        <x:v>Activity Log is a first-class tab.</x:v>
      </x:c>
    </x:row>
    <x:row r="8" ht="36" hidden="0" customHeight="1">
      <x:c r="A8" s="113" t="str">
        <x:v>AL-003</x:v>
      </x:c>
      <x:c r="B8" s="163" t="n">
        <x:v>46215.22671430556</x:v>
      </x:c>
      <x:c r="C8" s="113" t="str">
        <x:v>T-001</x:v>
      </x:c>
      <x:c r="D8" s="113" t="str">
        <x:v>Create task operating fields</x:v>
      </x:c>
      <x:c r="E8" s="113" t="str">
        <x:v>Added status, priority, ownership, acceptance criteria, validation, device coverage, evidence, blockers, notes, and commit/push fields.</x:v>
      </x:c>
      <x:c r="F8" s="113" t="str">
        <x:v>Task Tracker</x:v>
      </x:c>
      <x:c r="G8" s="113" t="str">
        <x:v>Task schema ready</x:v>
      </x:c>
      <x:c r="H8" s="113" t="str">
        <x:v>Reviewed fields for auditability and future editing.</x:v>
      </x:c>
      <x:c r="I8" s="113" t="str">
        <x:v>Desktop preview</x:v>
      </x:c>
      <x:c r="J8" s="113" t="str"/>
      <x:c r="K8" s="113" t="str"/>
      <x:c r="L8" s="113" t="str">
        <x:v>Add validation and status formatting.</x:v>
      </x:c>
      <x:c r="M8" s="113" t="str">
        <x:v>Done</x:v>
      </x:c>
      <x:c r="N8" s="113" t="str">
        <x:v>Designed for systematic task closure.</x:v>
      </x:c>
    </x:row>
    <x:row r="9" ht="36" hidden="0" customHeight="1">
      <x:c r="A9" s="113" t="str">
        <x:v>AL-004</x:v>
      </x:c>
      <x:c r="B9" s="163" t="n">
        <x:v>46215.22671430556</x:v>
      </x:c>
      <x:c r="C9" s="113" t="str">
        <x:v>T-001</x:v>
      </x:c>
      <x:c r="D9" s="113" t="str">
        <x:v>Create activity audit trail</x:v>
      </x:c>
      <x:c r="E9" s="113" t="str">
        <x:v>Added structured logging fields for meaningful steps, tools, results, validation, evidence, next steps, and status.</x:v>
      </x:c>
      <x:c r="F9" s="113" t="str">
        <x:v>Activity Log</x:v>
      </x:c>
      <x:c r="G9" s="113" t="str">
        <x:v>Logging workflow ready</x:v>
      </x:c>
      <x:c r="H9" s="113" t="str">
        <x:v>Verified the log can connect actions back to Task IDs.</x:v>
      </x:c>
      <x:c r="I9" s="113" t="str">
        <x:v>Desktop preview</x:v>
      </x:c>
      <x:c r="J9" s="113" t="str"/>
      <x:c r="K9" s="113" t="str"/>
      <x:c r="L9" s="113" t="str">
        <x:v>Add device and browser QA coverage.</x:v>
      </x:c>
      <x:c r="M9" s="113" t="str">
        <x:v>Done</x:v>
      </x:c>
      <x:c r="N9" s="113" t="str">
        <x:v>Tracks progress toward goals rather than low-value clicks.</x:v>
      </x:c>
    </x:row>
    <x:row r="10" ht="36" hidden="0" customHeight="1">
      <x:c r="A10" s="113" t="str">
        <x:v>AL-005</x:v>
      </x:c>
      <x:c r="B10" s="163" t="n">
        <x:v>46215.22671430556</x:v>
      </x:c>
      <x:c r="C10" s="113" t="str">
        <x:v>T-001</x:v>
      </x:c>
      <x:c r="D10" s="113" t="str">
        <x:v>Create device validation matrix</x:v>
      </x:c>
      <x:c r="E10" s="113" t="str">
        <x:v>Added desktop, laptop, tablet, mobile, and small-mobile coverage with browser/simulator fields.</x:v>
      </x:c>
      <x:c r="F10" s="113" t="str">
        <x:v>QA Matrix</x:v>
      </x:c>
      <x:c r="G10" s="113" t="str">
        <x:v>Baseline coverage ready</x:v>
      </x:c>
      <x:c r="H10" s="113" t="str">
        <x:v>Checked that each QA row can link to a Task ID and evidence.</x:v>
      </x:c>
      <x:c r="I10" s="113" t="str">
        <x:v>Multiple planned sizes</x:v>
      </x:c>
      <x:c r="J10" s="113" t="str"/>
      <x:c r="K10" s="113" t="str"/>
      <x:c r="L10" s="113" t="str">
        <x:v>Add product and design gap capture.</x:v>
      </x:c>
      <x:c r="M10" s="113" t="str">
        <x:v>Done</x:v>
      </x:c>
      <x:c r="N10" s="113" t="str">
        <x:v>Device checks can be expanded per task.</x:v>
      </x:c>
    </x:row>
    <x:row r="11" ht="36" hidden="0" customHeight="1">
      <x:c r="A11" s="113" t="str">
        <x:v>AL-006</x:v>
      </x:c>
      <x:c r="B11" s="163" t="n">
        <x:v>46215.22671430556</x:v>
      </x:c>
      <x:c r="C11" s="113" t="str">
        <x:v>T-001</x:v>
      </x:c>
      <x:c r="D11" s="113" t="str">
        <x:v>Create gap backlog</x:v>
      </x:c>
      <x:c r="E11" s="113" t="str">
        <x:v>Added a structured backlog for design, product, accessibility, performance, content, and technical gaps.</x:v>
      </x:c>
      <x:c r="F11" s="113" t="str">
        <x:v>Product Gaps</x:v>
      </x:c>
      <x:c r="G11" s="113" t="str">
        <x:v>Gap workflow ready</x:v>
      </x:c>
      <x:c r="H11" s="113" t="str">
        <x:v>Verified gaps can be promoted into future Task IDs.</x:v>
      </x:c>
      <x:c r="I11" s="113" t="str">
        <x:v>N/A</x:v>
      </x:c>
      <x:c r="J11" s="113" t="str"/>
      <x:c r="K11" s="113" t="str"/>
      <x:c r="L11" s="113" t="str">
        <x:v>Render and inspect all tabs.</x:v>
      </x:c>
      <x:c r="M11" s="113" t="str">
        <x:v>Done</x:v>
      </x:c>
      <x:c r="N11" s="113" t="str">
        <x:v>No actual gaps recorded because the project has not started.</x:v>
      </x:c>
    </x:row>
    <x:row r="12" ht="24" hidden="0" customHeight="1">
      <x:c r="A12" s="113" t="str">
        <x:v>AL-007</x:v>
      </x:c>
      <x:c r="B12" s="163" t="n">
        <x:v>46215.22671430556</x:v>
      </x:c>
      <x:c r="C12" s="113" t="str">
        <x:v>T-001</x:v>
      </x:c>
      <x:c r="D12" s="113" t="str">
        <x:v>Prepare preview for review</x:v>
      </x:c>
      <x:c r="E12" s="113" t="str">
        <x:v>Built summary formulas, validations, conditional formatting, freeze panes, and review instructions.</x:v>
      </x:c>
      <x:c r="F12" s="113" t="str">
        <x:v>Workbook QA</x:v>
      </x:c>
      <x:c r="G12" s="113" t="str">
        <x:v>Preview prepared</x:v>
      </x:c>
      <x:c r="H12" s="113" t="str">
        <x:v>Final render and formula checks occur before delivery.</x:v>
      </x:c>
      <x:c r="I12" s="113" t="str">
        <x:v>Desktop preview</x:v>
      </x:c>
      <x:c r="J12" s="113" t="str"/>
      <x:c r="K12" s="113" t="str"/>
      <x:c r="L12" s="113" t="str">
        <x:v>Approve tracker, then import real project tasks.</x:v>
      </x:c>
      <x:c r="M12" s="113" t="str">
        <x:v>In Review</x:v>
      </x:c>
      <x:c r="N12" s="113" t="str">
        <x:v>Final status remains In Review until user approval.</x:v>
      </x:c>
    </x:row>
    <x:row r="13" ht="39.599998474121094" hidden="0" customHeight="1">
      <x:c r="A13" s="166" t="str">
        <x:v>AL-008</x:v>
      </x:c>
      <x:c r="B13" s="167" t="n">
        <x:v>46215.27099571759</x:v>
      </x:c>
      <x:c r="C13" s="166" t="str">
        <x:v>T-002</x:v>
      </x:c>
      <x:c r="D13" s="166" t="str">
        <x:v>Protect existing work</x:v>
      </x:c>
      <x:c r="E13" s="166" t="str">
        <x:v>Detected the original repo's dirty worktree and created a clean worktree from fetched origin/main.</x:v>
      </x:c>
      <x:c r="F13" s="166" t="str">
        <x:v>Git / repo audit</x:v>
      </x:c>
      <x:c r="G13" s="166" t="str">
        <x:v>Clean branch created</x:v>
      </x:c>
      <x:c r="H13" s="166" t="str">
        <x:v>Verified origin/main at bb6f5cf and left user changes untouched.</x:v>
      </x:c>
      <x:c r="I13" s="166" t="str">
        <x:v>N/A</x:v>
      </x:c>
      <x:c r="J13" s="166" t="str">
        <x:v>/private/tmp/pestflow-desktop-qa-guardian</x:v>
      </x:c>
      <x:c r="K13" s="166" t="str">
        <x:v>codex/desktop-qa-guardian</x:v>
      </x:c>
      <x:c r="L13" s="166" t="str">
        <x:v>Audit workflows and recent runs.</x:v>
      </x:c>
      <x:c r="M13" s="166" t="str">
        <x:v>Done</x:v>
      </x:c>
      <x:c r="N13" s="166" t="str">
        <x:v>Original dirty worktree was preserved.</x:v>
      </x:c>
    </x:row>
    <x:row r="14" ht="39.599998474121094" hidden="0" customHeight="1">
      <x:c r="A14" s="166" t="str">
        <x:v>AL-009</x:v>
      </x:c>
      <x:c r="B14" s="167" t="n">
        <x:v>46215.27099571759</x:v>
      </x:c>
      <x:c r="C14" s="166" t="str">
        <x:v>T-002</x:v>
      </x:c>
      <x:c r="D14" s="166" t="str">
        <x:v>Find false-red causes</x:v>
      </x:c>
      <x:c r="E14" s="166" t="str">
        <x:v>Inspected recent GitHub Actions failures and found passing product tests marked red by artifact quota failures.</x:v>
      </x:c>
      <x:c r="F14" s="166" t="str">
        <x:v>GitHub Actions evidence</x:v>
      </x:c>
      <x:c r="G14" s="166" t="str">
        <x:v>Failure mode confirmed</x:v>
      </x:c>
      <x:c r="H14" s="166" t="str">
        <x:v>Compared failed steps and logs for Mobile Crash Watchdog and Mobile Auth Onboarding.</x:v>
      </x:c>
      <x:c r="I14" s="166" t="str">
        <x:v>N/A</x:v>
      </x:c>
      <x:c r="J14" s="166" t="str">
        <x:v>Recent workflow runs 29180099833 and 29179936027</x:v>
      </x:c>
      <x:c r="K14" s="166"/>
      <x:c r="L14" s="166" t="str">
        <x:v>Implement evidence classification.</x:v>
      </x:c>
      <x:c r="M14" s="166" t="str">
        <x:v>Done</x:v>
      </x:c>
      <x:c r="N14" s="166" t="str">
        <x:v>The repair handoff was reacting to infrastructure noise.</x:v>
      </x:c>
    </x:row>
    <x:row r="15" ht="39.599998474121094" hidden="0" customHeight="1">
      <x:c r="A15" s="166" t="str">
        <x:v>AL-010</x:v>
      </x:c>
      <x:c r="B15" s="167" t="n">
        <x:v>46215.27099571759</x:v>
      </x:c>
      <x:c r="C15" s="166" t="str">
        <x:v>T-004</x:v>
      </x:c>
      <x:c r="D15" s="166" t="str">
        <x:v>Build failure classifier</x:v>
      </x:c>
      <x:c r="E15" s="166" t="str">
        <x:v>Added workflow metadata/log classification and stable incident fingerprints.</x:v>
      </x:c>
      <x:c r="F15" s="166" t="str">
        <x:v>Node tests</x:v>
      </x:c>
      <x:c r="G15" s="166" t="str">
        <x:v>Signal classifier implemented</x:v>
      </x:c>
      <x:c r="H15" s="166" t="str">
        <x:v>12 incident/classifier tests include exact quota-only and product-failure cases.</x:v>
      </x:c>
      <x:c r="I15" s="166" t="str">
        <x:v>N/A</x:v>
      </x:c>
      <x:c r="J15" s="166" t="str">
        <x:v>/private/tmp/pestflow-desktop-qa-guardian/scripts/lib/qa-failure-classifier.mjs</x:v>
      </x:c>
      <x:c r="K15" s="166" t="str">
        <x:v>codex/desktop-qa-guardian</x:v>
      </x:c>
      <x:c r="L15" s="166" t="str">
        <x:v>Integrate dedupe into handoff.</x:v>
      </x:c>
      <x:c r="M15" s="166" t="str">
        <x:v>Done</x:v>
      </x:c>
      <x:c r="N15" s="166" t="str">
        <x:v>Unknown failures require human triage.</x:v>
      </x:c>
    </x:row>
    <x:row r="16" ht="39.599998474121094" hidden="0" customHeight="1">
      <x:c r="A16" s="166" t="str">
        <x:v>AL-011</x:v>
      </x:c>
      <x:c r="B16" s="167" t="n">
        <x:v>46215.27099571759</x:v>
      </x:c>
      <x:c r="C16" s="166" t="str">
        <x:v>T-005</x:v>
      </x:c>
      <x:c r="D16" s="166" t="str">
        <x:v>Stop duplicate repairs</x:v>
      </x:c>
      <x:c r="E16" s="166" t="str">
        <x:v>Replaced date/run-based branches with stable incident branches and existing-PR occurrence comments.</x:v>
      </x:c>
      <x:c r="F16" s="166" t="str">
        <x:v>GitHub workflow</x:v>
      </x:c>
      <x:c r="G16" s="166" t="str">
        <x:v>Dedupe implemented</x:v>
      </x:c>
      <x:c r="H16" s="166" t="str">
        <x:v>Verified fingerprints ignore timestamps, run ids, and URLs.</x:v>
      </x:c>
      <x:c r="I16" s="166" t="str">
        <x:v>N/A</x:v>
      </x:c>
      <x:c r="J16" s="166" t="str">
        <x:v>/private/tmp/pestflow-desktop-qa-guardian/.github/workflows/qa-codex-staging-repair.yml</x:v>
      </x:c>
      <x:c r="K16" s="166" t="str">
        <x:v>codex/desktop-qa-guardian</x:v>
      </x:c>
      <x:c r="L16" s="166" t="str">
        <x:v>Build Guardian foundation.</x:v>
      </x:c>
      <x:c r="M16" s="166" t="str">
        <x:v>Done</x:v>
      </x:c>
      <x:c r="N16" s="166" t="str">
        <x:v>First occurrence emails; repeats update the same repair.</x:v>
      </x:c>
    </x:row>
    <x:row r="17" ht="26.399999618530273" hidden="0" customHeight="1">
      <x:c r="A17" s="166" t="str">
        <x:v>AL-012</x:v>
      </x:c>
      <x:c r="B17" s="167" t="n">
        <x:v>46215.27099571759</x:v>
      </x:c>
      <x:c r="C17" s="166" t="str">
        <x:v>T-003</x:v>
      </x:c>
      <x:c r="D17" s="166" t="str">
        <x:v>Install browser QA runtime</x:v>
      </x:c>
      <x:c r="E17" s="166" t="str">
        <x:v>Added Stagehand 3.6.0 and Browserbase SDK 2.15.0 as development dependencies.</x:v>
      </x:c>
      <x:c r="F17" s="166" t="str">
        <x:v>npm / SDK</x:v>
      </x:c>
      <x:c r="G17" s="166" t="str">
        <x:v>Runtime installed</x:v>
      </x:c>
      <x:c r="H17" s="166" t="str">
        <x:v>Imported both packages successfully in Node 22.</x:v>
      </x:c>
      <x:c r="I17" s="166" t="str">
        <x:v>N/A</x:v>
      </x:c>
      <x:c r="J17" s="166" t="str">
        <x:v>/private/tmp/pestflow-desktop-qa-guardian/package.json</x:v>
      </x:c>
      <x:c r="K17" s="166" t="str">
        <x:v>codex/desktop-qa-guardian</x:v>
      </x:c>
      <x:c r="L17" s="166" t="str">
        <x:v>Define journeys and policy.</x:v>
      </x:c>
      <x:c r="M17" s="166" t="str">
        <x:v>Done</x:v>
      </x:c>
      <x:c r="N17" s="166" t="str">
        <x:v>No forced dependency audit rewrite was applied.</x:v>
      </x:c>
    </x:row>
    <x:row r="18" ht="39.599998474121094" hidden="0" customHeight="1">
      <x:c r="A18" s="166" t="str">
        <x:v>AL-013</x:v>
      </x:c>
      <x:c r="B18" s="167" t="n">
        <x:v>46215.27099571759</x:v>
      </x:c>
      <x:c r="C18" s="166" t="str">
        <x:v>T-006</x:v>
      </x:c>
      <x:c r="D18" s="166" t="str">
        <x:v>Create desktop journey registry</x:v>
      </x:c>
      <x:c r="E18" s="166" t="str">
        <x:v>Defined five semantic journeys, personas, read-only safety policy, four viewports, and route delegations.</x:v>
      </x:c>
      <x:c r="F18" s="166" t="str">
        <x:v>Guardian registry</x:v>
      </x:c>
      <x:c r="G18" s="166" t="str">
        <x:v>12-session matrix ready</x:v>
      </x:c>
      <x:c r="H18" s="166" t="str">
        <x:v>Route-coverage test proves every static desktop route is covered or delegated.</x:v>
      </x:c>
      <x:c r="I18" s="166" t="str">
        <x:v>1440; 1280; 1920; 1024</x:v>
      </x:c>
      <x:c r="J18" s="166" t="str">
        <x:v>/private/tmp/pestflow-desktop-qa-guardian/qa/guardian/desktop-journeys.json</x:v>
      </x:c>
      <x:c r="K18" s="166" t="str">
        <x:v>codex/desktop-qa-guardian</x:v>
      </x:c>
      <x:c r="L18" s="166" t="str">
        <x:v>Implement runner and evidence.</x:v>
      </x:c>
      <x:c r="M18" s="166" t="str">
        <x:v>Done</x:v>
      </x:c>
      <x:c r="N18" s="166" t="str">
        <x:v>Destructive production actions are forbidden.</x:v>
      </x:c>
    </x:row>
    <x:row r="19" ht="52.79999923706055" hidden="0" customHeight="1">
      <x:c r="A19" s="166" t="str">
        <x:v>AL-014</x:v>
      </x:c>
      <x:c r="B19" s="167" t="n">
        <x:v>46215.27099571759</x:v>
      </x:c>
      <x:c r="C19" s="166" t="str">
        <x:v>T-003</x:v>
      </x:c>
      <x:c r="D19" s="166" t="str">
        <x:v>Implement Stagehand runner</x:v>
      </x:c>
      <x:c r="E19" s="166" t="str">
        <x:v>Added Browserbase sessions, persistent context support, semantic extract/observe, screenshots, console errors, history, metrics, replays, and summaries.</x:v>
      </x:c>
      <x:c r="F19" s="166" t="str">
        <x:v>Stagehand / Browserbase</x:v>
      </x:c>
      <x:c r="G19" s="166" t="str">
        <x:v>Runner implemented</x:v>
      </x:c>
      <x:c r="H19" s="166" t="str">
        <x:v>Full dry run selects all 12 matrix entries; installed SDK types were checked.</x:v>
      </x:c>
      <x:c r="I19" s="166" t="str">
        <x:v>All registry sizes</x:v>
      </x:c>
      <x:c r="J19" s="166" t="str">
        <x:v>/private/tmp/pestflow-desktop-qa-guardian/scripts/qa-guardian-stagehand.mjs</x:v>
      </x:c>
      <x:c r="K19" s="166" t="str">
        <x:v>codex/desktop-qa-guardian</x:v>
      </x:c>
      <x:c r="L19" s="166" t="str">
        <x:v>Add scheduled workflow and incident parser.</x:v>
      </x:c>
      <x:c r="M19" s="166" t="str">
        <x:v>Done</x:v>
      </x:c>
      <x:c r="N19" s="166" t="str">
        <x:v>Production writes remain disabled.</x:v>
      </x:c>
    </x:row>
    <x:row r="20" ht="39.599998474121094" hidden="0" customHeight="1">
      <x:c r="A20" s="166" t="str">
        <x:v>AL-015</x:v>
      </x:c>
      <x:c r="B20" s="167" t="n">
        <x:v>46215.27099571759</x:v>
      </x:c>
      <x:c r="C20" s="166" t="str">
        <x:v>T-003</x:v>
      </x:c>
      <x:c r="D20" s="166" t="str">
        <x:v>Schedule continuous semantic QA</x:v>
      </x:c>
      <x:c r="E20" s="166" t="str">
        <x:v>Added hourly tier-0, nightly full, and manual Guardian workflow with secret preflight and non-blocking artifact upload.</x:v>
      </x:c>
      <x:c r="F20" s="166" t="str">
        <x:v>GitHub Actions</x:v>
      </x:c>
      <x:c r="G20" s="166" t="str">
        <x:v>Workflow implemented</x:v>
      </x:c>
      <x:c r="H20" s="166" t="str">
        <x:v>All workflow YAML files parse successfully.</x:v>
      </x:c>
      <x:c r="I20" s="166" t="str">
        <x:v>1440 hourly; full nightly</x:v>
      </x:c>
      <x:c r="J20" s="166" t="str">
        <x:v>/private/tmp/pestflow-desktop-qa-guardian/.github/workflows/desktop-stagehand-guardian.yml</x:v>
      </x:c>
      <x:c r="K20" s="166" t="str">
        <x:v>codex/desktop-qa-guardian</x:v>
      </x:c>
      <x:c r="L20" s="166" t="str">
        <x:v>Expand deterministic desktop checks.</x:v>
      </x:c>
      <x:c r="M20" s="166" t="str">
        <x:v>Done</x:v>
      </x:c>
      <x:c r="N20" s="166" t="str">
        <x:v>Missing setup is reported without a false product repair.</x:v>
      </x:c>
    </x:row>
    <x:row r="21" ht="52.79999923706055" hidden="0" customHeight="1">
      <x:c r="A21" s="166" t="str">
        <x:v>AL-016</x:v>
      </x:c>
      <x:c r="B21" s="167" t="n">
        <x:v>46215.27099571759</x:v>
      </x:c>
      <x:c r="C21" s="166" t="str">
        <x:v>T-007</x:v>
      </x:c>
      <x:c r="D21" s="166" t="str">
        <x:v>Add responsive operating-desk oracle</x:v>
      </x:c>
      <x:c r="E21" s="166" t="str">
        <x:v>Added dashboard/customers/jobs/invoices/reports checks at 1440, 1280, and 1024 with overflow and fatal-console assertions.</x:v>
      </x:c>
      <x:c r="F21" s="166" t="str">
        <x:v>Playwright</x:v>
      </x:c>
      <x:c r="G21" s="166" t="str">
        <x:v>Desktop suite expanded to 8 scenarios</x:v>
      </x:c>
      <x:c r="H21" s="166" t="str">
        <x:v>Playwright list confirms all eight tests.</x:v>
      </x:c>
      <x:c r="I21" s="166" t="str">
        <x:v>1440×900; 1280×800; 1024×768</x:v>
      </x:c>
      <x:c r="J21" s="166" t="str">
        <x:v>/private/tmp/pestflow-desktop-qa-guardian/e2e/desktop-critical-workflows.spec.ts</x:v>
      </x:c>
      <x:c r="K21" s="166" t="str">
        <x:v>codex/desktop-qa-guardian</x:v>
      </x:c>
      <x:c r="L21" s="166" t="str">
        <x:v>Run against production.</x:v>
      </x:c>
      <x:c r="M21" s="166" t="str">
        <x:v>Done</x:v>
      </x:c>
      <x:c r="N21" s="166" t="str">
        <x:v>Uses synthetic QA tenants and serial shared state.</x:v>
      </x:c>
    </x:row>
    <x:row r="22" ht="39.599998474121094" hidden="0" customHeight="1">
      <x:c r="A22" s="166" t="str">
        <x:v>AL-017</x:v>
      </x:c>
      <x:c r="B22" s="167" t="n">
        <x:v>46215.27099571759</x:v>
      </x:c>
      <x:c r="C22" s="166" t="str">
        <x:v>T-007</x:v>
      </x:c>
      <x:c r="D22" s="166" t="str">
        <x:v>Verify deployed production desktop</x:v>
      </x:c>
      <x:c r="E22" s="166" t="str">
        <x:v>Ran the full desktop critical suite against new.pestflow.org and api.pestflow.org.</x:v>
      </x:c>
      <x:c r="F22" s="166" t="str">
        <x:v>Production Playwright</x:v>
      </x:c>
      <x:c r="G22" s="166" t="str">
        <x:v>8/8 passed</x:v>
      </x:c>
      <x:c r="H22" s="166" t="str">
        <x:v>Auth, onboarding, CRUD, tenancy, roles, invoice, scheduling, and viewport tests passed.</x:v>
      </x:c>
      <x:c r="I22" s="166" t="str">
        <x:v>1440×900; 1280×800; 1024×768</x:v>
      </x:c>
      <x:c r="J22" s="166" t="str">
        <x:v>https://new.pestflow.org</x:v>
      </x:c>
      <x:c r="K22" s="166"/>
      <x:c r="L22" s="166" t="str">
        <x:v>Add change-aware release gate.</x:v>
      </x:c>
      <x:c r="M22" s="166" t="str">
        <x:v>Done</x:v>
      </x:c>
      <x:c r="N22" s="166" t="str">
        <x:v>Run duration 1.9 minutes.</x:v>
      </x:c>
    </x:row>
    <x:row r="23" ht="39.599998474121094" hidden="0" customHeight="1">
      <x:c r="A23" s="166" t="str">
        <x:v>AL-018</x:v>
      </x:c>
      <x:c r="B23" s="167" t="n">
        <x:v>46215.27099571759</x:v>
      </x:c>
      <x:c r="C23" s="166" t="str">
        <x:v>T-008</x:v>
      </x:c>
      <x:c r="D23" s="166" t="str">
        <x:v>Map changes to risk</x:v>
      </x:c>
      <x:c r="E23" s="166" t="str">
        <x:v>Added source-file blast-radius rules selecting exact journeys and deterministic checks.</x:v>
      </x:c>
      <x:c r="F23" s="166" t="str">
        <x:v>Risk selector</x:v>
      </x:c>
      <x:c r="G23" s="166" t="str">
        <x:v>Change-aware coverage implemented</x:v>
      </x:c>
      <x:c r="H23" s="166" t="str">
        <x:v>Customer, shared-shell, glob, and docs-only selection tests pass.</x:v>
      </x:c>
      <x:c r="I23" s="166" t="str">
        <x:v>Risk-selected</x:v>
      </x:c>
      <x:c r="J23" s="166" t="str">
        <x:v>/private/tmp/pestflow-desktop-qa-guardian/qa/guardian/change-map.json</x:v>
      </x:c>
      <x:c r="K23" s="166" t="str">
        <x:v>codex/desktop-qa-guardian</x:v>
      </x:c>
      <x:c r="L23" s="166" t="str">
        <x:v>Centralize release verdict.</x:v>
      </x:c>
      <x:c r="M23" s="166" t="str">
        <x:v>Done</x:v>
      </x:c>
      <x:c r="N23" s="166" t="str">
        <x:v>Unmatched files remain visible in evidence.</x:v>
      </x:c>
    </x:row>
    <x:row r="24" ht="52.79999923706055" hidden="0" customHeight="1">
      <x:c r="A24" s="166" t="str">
        <x:v>AL-019</x:v>
      </x:c>
      <x:c r="B24" s="167" t="n">
        <x:v>46215.27099571759</x:v>
      </x:c>
      <x:c r="C24" s="166" t="str">
        <x:v>T-008</x:v>
      </x:c>
      <x:c r="D24" s="166" t="str">
        <x:v>Create candidate release gate</x:v>
      </x:c>
      <x:c r="E24" s="166" t="str">
        <x:v>Added reusable/manual candidate workflow and centralized evidence policy.</x:v>
      </x:c>
      <x:c r="F24" s="166" t="str">
        <x:v>GitHub Actions</x:v>
      </x:c>
      <x:c r="G24" s="166" t="str">
        <x:v>Promotion gate implemented</x:v>
      </x:c>
      <x:c r="H24" s="166" t="str">
        <x:v>Policy tests cover green evidence, missing Browserbase, missing screenshots/replays, skips, failures, and slow UI.</x:v>
      </x:c>
      <x:c r="I24" s="166" t="str">
        <x:v>Selected per change</x:v>
      </x:c>
      <x:c r="J24" s="166" t="str">
        <x:v>/private/tmp/pestflow-desktop-qa-guardian/qa/guardian/quality-policy.json</x:v>
      </x:c>
      <x:c r="K24" s="166" t="str">
        <x:v>codex/desktop-qa-guardian</x:v>
      </x:c>
      <x:c r="L24" s="166" t="str">
        <x:v>Independent browser validation.</x:v>
      </x:c>
      <x:c r="M24" s="166" t="str">
        <x:v>Done</x:v>
      </x:c>
      <x:c r="N24" s="166" t="str">
        <x:v>A selected but unconfigured browser gate blocks release.</x:v>
      </x:c>
    </x:row>
    <x:row r="25" ht="39.599998474121094" hidden="0" customHeight="1">
      <x:c r="A25" s="166" t="str">
        <x:v>AL-020</x:v>
      </x:c>
      <x:c r="B25" s="167" t="n">
        <x:v>46215.27099571759</x:v>
      </x:c>
      <x:c r="C25" s="166" t="str">
        <x:v>T-007</x:v>
      </x:c>
      <x:c r="D25" s="166" t="str">
        <x:v>Independently inspect auth layouts</x:v>
      </x:c>
      <x:c r="E25" s="166" t="str">
        <x:v>Used the in-app browser at desktop, laptop, and constrained desktop sizes and saved viewport evidence.</x:v>
      </x:c>
      <x:c r="F25" s="166" t="str">
        <x:v>In-app Browser</x:v>
      </x:c>
      <x:c r="G25" s="166" t="str">
        <x:v>Login/signup visually coherent</x:v>
      </x:c>
      <x:c r="H25" s="166" t="str">
        <x:v>No overflow, clipped controls, fatal text, or console errors after hydration.</x:v>
      </x:c>
      <x:c r="I25" s="166" t="str">
        <x:v>1440×900; 1280×800; 1024×768</x:v>
      </x:c>
      <x:c r="J25" s="166" t="str">
        <x:v>/private/tmp/pestflow-desktop-qa-guardian/artifacts/manual-browser</x:v>
      </x:c>
      <x:c r="K25" s="166"/>
      <x:c r="L25" s="166" t="str">
        <x:v>Harden readiness oracle.</x:v>
      </x:c>
      <x:c r="M25" s="166" t="str">
        <x:v>Done</x:v>
      </x:c>
      <x:c r="N25" s="166" t="str">
        <x:v>Independent from the repository Playwright suite.</x:v>
      </x:c>
    </x:row>
    <x:row r="26" ht="52.79999923706055" hidden="0" customHeight="1">
      <x:c r="A26" s="166" t="str">
        <x:v>AL-021</x:v>
      </x:c>
      <x:c r="B26" s="167" t="n">
        <x:v>46215.27099571759</x:v>
      </x:c>
      <x:c r="C26" s="166" t="str">
        <x:v>T-003</x:v>
      </x:c>
      <x:c r="D26" s="166" t="str">
        <x:v>Eliminate hydration false alarms</x:v>
      </x:c>
      <x:c r="E26" s="166" t="str">
        <x:v>Measured an empty React root immediately at domcontentloaded that became usable within about 250 ms, then added a visible-root wait.</x:v>
      </x:c>
      <x:c r="F26" s="166" t="str">
        <x:v>Browser + Stagehand</x:v>
      </x:c>
      <x:c r="G26" s="166" t="str">
        <x:v>Readiness race handled</x:v>
      </x:c>
      <x:c r="H26" s="166" t="str">
        <x:v>0 ms: no controls; 250 ms: heading, inputs, and buttons present; no console errors.</x:v>
      </x:c>
      <x:c r="I26" s="166" t="str">
        <x:v>1024×768</x:v>
      </x:c>
      <x:c r="J26" s="166" t="str">
        <x:v>/private/tmp/pestflow-desktop-qa-guardian/scripts/qa-guardian-stagehand.mjs</x:v>
      </x:c>
      <x:c r="K26" s="166" t="str">
        <x:v>codex/desktop-qa-guardian</x:v>
      </x:c>
      <x:c r="L26" s="166" t="str">
        <x:v>Run comprehensive repo checks.</x:v>
      </x:c>
      <x:c r="M26" s="166" t="str">
        <x:v>Done</x:v>
      </x:c>
      <x:c r="N26" s="166" t="str">
        <x:v>Prevents judging first paint as a blank-screen bug.</x:v>
      </x:c>
    </x:row>
    <x:row r="27" ht="26.399999618530273" hidden="0" customHeight="1">
      <x:c r="A27" s="166" t="str">
        <x:v>AL-022</x:v>
      </x:c>
      <x:c r="B27" s="167" t="n">
        <x:v>46215.27099571759</x:v>
      </x:c>
      <x:c r="C27" s="166" t="str">
        <x:v>T-009</x:v>
      </x:c>
      <x:c r="D27" s="166" t="str">
        <x:v>Run full unit regression</x:v>
      </x:c>
      <x:c r="E27" s="166" t="str">
        <x:v>Executed the complete Vitest suite.</x:v>
      </x:c>
      <x:c r="F27" s="166" t="str">
        <x:v>Vitest</x:v>
      </x:c>
      <x:c r="G27" s="166" t="str">
        <x:v>742/742 passed</x:v>
      </x:c>
      <x:c r="H27" s="166" t="str">
        <x:v>66 test files passed with zero failures.</x:v>
      </x:c>
      <x:c r="I27" s="166" t="str">
        <x:v>N/A</x:v>
      </x:c>
      <x:c r="J27" s="166" t="str">
        <x:v>npm test</x:v>
      </x:c>
      <x:c r="K27" s="166"/>
      <x:c r="L27" s="166" t="str">
        <x:v>Run build, types, lint, and workflow checks.</x:v>
      </x:c>
      <x:c r="M27" s="166" t="str">
        <x:v>Done</x:v>
      </x:c>
      <x:c r="N27" s="166" t="str">
        <x:v>Repository-wide behavior baseline is green.</x:v>
      </x:c>
    </x:row>
    <x:row r="28" ht="26.399999618530273" hidden="0" customHeight="1">
      <x:c r="A28" s="166" t="str">
        <x:v>AL-023</x:v>
      </x:c>
      <x:c r="B28" s="167" t="n">
        <x:v>46215.27099571759</x:v>
      </x:c>
      <x:c r="C28" s="166" t="str">
        <x:v>T-009</x:v>
      </x:c>
      <x:c r="D28" s="166" t="str">
        <x:v>Run build and type checks</x:v>
      </x:c>
      <x:c r="E28" s="166" t="str">
        <x:v>Built the production bundle and ran TypeScript without emitting files.</x:v>
      </x:c>
      <x:c r="F28" s="166" t="str">
        <x:v>Vite + TypeScript</x:v>
      </x:c>
      <x:c r="G28" s="166" t="str">
        <x:v>Both passed</x:v>
      </x:c>
      <x:c r="H28" s="166" t="str">
        <x:v>5,698 modules transformed; tsc exited 0.</x:v>
      </x:c>
      <x:c r="I28" s="166" t="str">
        <x:v>N/A</x:v>
      </x:c>
      <x:c r="J28" s="166" t="str">
        <x:v>npm run build; npx tsc --noEmit</x:v>
      </x:c>
      <x:c r="K28" s="166"/>
      <x:c r="L28" s="166" t="str">
        <x:v>Classify remaining warnings/debt.</x:v>
      </x:c>
      <x:c r="M28" s="166" t="str">
        <x:v>Done</x:v>
      </x:c>
      <x:c r="N28" s="166" t="str">
        <x:v>Build warnings recorded as future gaps.</x:v>
      </x:c>
    </x:row>
    <x:row r="29" ht="39.599998474121094" hidden="0" customHeight="1">
      <x:c r="A29" s="166" t="str">
        <x:v>AL-024</x:v>
      </x:c>
      <x:c r="B29" s="167" t="n">
        <x:v>46215.27099571759</x:v>
      </x:c>
      <x:c r="C29" s="166" t="str">
        <x:v>T-009</x:v>
      </x:c>
      <x:c r="D29" s="166" t="str">
        <x:v>Audit lint quality</x:v>
      </x:c>
      <x:c r="E29" s="166" t="str">
        <x:v>Ran focused lint on all new QA files and repo-wide lint for baseline comparison.</x:v>
      </x:c>
      <x:c r="F29" s="166" t="str">
        <x:v>ESLint</x:v>
      </x:c>
      <x:c r="G29" s="166" t="str">
        <x:v>New files clean; legacy baseline red</x:v>
      </x:c>
      <x:c r="H29" s="166" t="str">
        <x:v>Focused lint passed. Full repo reports 613 errors and 49 warnings unrelated to this branch.</x:v>
      </x:c>
      <x:c r="I29" s="166" t="str">
        <x:v>N/A</x:v>
      </x:c>
      <x:c r="J29" s="166" t="str">
        <x:v>npm run lint</x:v>
      </x:c>
      <x:c r="K29" s="166"/>
      <x:c r="L29" s="166" t="str">
        <x:v>Track lint debt separately.</x:v>
      </x:c>
      <x:c r="M29" s="166" t="str">
        <x:v>Done</x:v>
      </x:c>
      <x:c r="N29" s="166" t="str">
        <x:v>No broad unrelated cleanup was attempted.</x:v>
      </x:c>
    </x:row>
    <x:row r="30" ht="79.19999694824219" hidden="0" customHeight="1">
      <x:c r="A30" s="166" t="str">
        <x:v>AL-025</x:v>
      </x:c>
      <x:c r="B30" s="167" t="n">
        <x:v>46215.27099571759</x:v>
      </x:c>
      <x:c r="C30" s="166" t="str">
        <x:v>T-009</x:v>
      </x:c>
      <x:c r="D30" s="166" t="str">
        <x:v>Update the operating tracker</x:v>
      </x:c>
      <x:c r="E30" s="166" t="str">
        <x:v>Replaced preview-only placeholders with live tasks, activity, QA evidence, blockers, and product gaps.</x:v>
      </x:c>
      <x:c r="F30" s="166" t="str">
        <x:v>Excel tracker</x:v>
      </x:c>
      <x:c r="G30" s="166" t="str">
        <x:v>Workbook updated</x:v>
      </x:c>
      <x:c r="H30" s="166" t="str">
        <x:v>Rendered and inspected all five tabs before and after editing.</x:v>
      </x:c>
      <x:c r="I30" s="166" t="str">
        <x:v>Desktop workbook</x:v>
      </x:c>
      <x:c r="J30" s="166" t="str">
        <x:v>/Users/trevorgicheru/Library/Mobile Documents/com~apple~CloudDocs/Downloads/outputs/browser-base-qa-tracker-preview/Browser-Base-QA-Activity-Tracker.xlsx</x:v>
      </x:c>
      <x:c r="K30" s="166" t="str">
        <x:v>bcb5ff7; PR #89</x:v>
      </x:c>
      <x:c r="L30" s="166" t="str">
        <x:v>Configure Browserbase secrets/context and dispatch live tier 0.</x:v>
      </x:c>
      <x:c r="M30" s="166" t="str">
        <x:v>Done</x:v>
      </x:c>
      <x:c r="N30" s="166" t="str">
        <x:v>Tracker update checkpoint completed.</x:v>
      </x:c>
    </x:row>
    <x:row r="31" ht="39.599998474121094" hidden="0" customHeight="1">
      <x:c r="A31" s="166" t="str">
        <x:v>AL-026</x:v>
      </x:c>
      <x:c r="B31" s="167" t="n">
        <x:v>46215.27523634259</x:v>
      </x:c>
      <x:c r="C31" s="166" t="str">
        <x:v>T-009</x:v>
      </x:c>
      <x:c r="D31" s="166" t="str">
        <x:v>Publish QA system checkpoint</x:v>
      </x:c>
      <x:c r="E31" s="166" t="str">
        <x:v>Committed the complete Guardian change set and pushed the review branch.</x:v>
      </x:c>
      <x:c r="F31" s="166" t="str">
        <x:v>Git + GitHub</x:v>
      </x:c>
      <x:c r="G31" s="166" t="str">
        <x:v>Commit and branch published</x:v>
      </x:c>
      <x:c r="H31" s="166" t="str">
        <x:v>Credential scan, cached diff check, clean branch tracking, and remote SHA verification passed.</x:v>
      </x:c>
      <x:c r="I31" s="166" t="str">
        <x:v>N/A</x:v>
      </x:c>
      <x:c r="J31" s="166" t="str">
        <x:v>https://github.com/gicheru214/pestflow-checkout-rebuild/pull/89</x:v>
      </x:c>
      <x:c r="K31" s="166" t="str">
        <x:v>bcb5ff7</x:v>
      </x:c>
      <x:c r="L31" s="166" t="str">
        <x:v>Open draft PR and watch its required check.</x:v>
      </x:c>
      <x:c r="M31" s="166" t="str">
        <x:v>Done</x:v>
      </x:c>
      <x:c r="N31" s="166" t="str">
        <x:v>33 files; 5,348 additions; 69 deletions.</x:v>
      </x:c>
    </x:row>
    <x:row r="32" ht="52.79999923706055" hidden="0" customHeight="1">
      <x:c r="A32" s="166" t="str">
        <x:v>AL-027</x:v>
      </x:c>
      <x:c r="B32" s="167" t="n">
        <x:v>46215.27523634259</x:v>
      </x:c>
      <x:c r="C32" s="166" t="str">
        <x:v>T-009</x:v>
      </x:c>
      <x:c r="D32" s="166" t="str">
        <x:v>Verify pull-request release gate</x:v>
      </x:c>
      <x:c r="E32" s="166" t="str">
        <x:v>Opened draft PR #89 and watched the new risk-selection/build workflow to completion.</x:v>
      </x:c>
      <x:c r="F32" s="166" t="str">
        <x:v>GitHub Actions</x:v>
      </x:c>
      <x:c r="G32" s="166" t="str">
        <x:v>Release gate passed</x:v>
      </x:c>
      <x:c r="H32" s="166" t="str">
        <x:v>Run 29182844822 completed successfully in 1m24s; artifact quota emitted a non-blocking annotation exactly as designed.</x:v>
      </x:c>
      <x:c r="I32" s="166" t="str">
        <x:v>GitHub runner</x:v>
      </x:c>
      <x:c r="J32" s="166" t="str">
        <x:v>https://github.com/gicheru214/pestflow-checkout-rebuild/actions/runs/29182844822</x:v>
      </x:c>
      <x:c r="K32" s="166" t="str">
        <x:v>PR #89</x:v>
      </x:c>
      <x:c r="L32" s="166" t="str">
        <x:v>Configure Browserbase activation secrets and staging promotion wiring.</x:v>
      </x:c>
      <x:c r="M32" s="166" t="str">
        <x:v>Done</x:v>
      </x:c>
      <x:c r="N32" s="166" t="str">
        <x:v>No false repair handoff was triggered by artifact storage quota.</x:v>
      </x:c>
    </x:row>
    <x:row r="33" ht="52.79999923706055" hidden="0" customHeight="1">
      <x:c r="A33" s="166" t="str">
        <x:v>AL-028</x:v>
      </x:c>
      <x:c r="B33" s="167" t="n">
        <x:v>46215.28418983796</x:v>
      </x:c>
      <x:c r="C33" s="166" t="str">
        <x:v>T-008</x:v>
      </x:c>
      <x:c r="D33" s="166" t="str">
        <x:v>Audit change-map completeness</x:v>
      </x:c>
      <x:c r="E33" s="166" t="str">
        <x:v>Enumerated every non-mobile feature source, added missing services/settings/sales mappings, and connected feature-catalog changes to the delegated browser suite.</x:v>
      </x:c>
      <x:c r="F33" s="166" t="str">
        <x:v>Risk selector + policy tests</x:v>
      </x:c>
      <x:c r="G33" s="166" t="str">
        <x:v>Desktop feature map complete</x:v>
      </x:c>
      <x:c r="H33" s="166" t="str">
        <x:v>20/20 policy tests pass; a future unmapped desktop feature now fails validation.</x:v>
      </x:c>
      <x:c r="I33" s="166" t="str">
        <x:v>All desktop feature sources</x:v>
      </x:c>
      <x:c r="J33" s="166" t="str">
        <x:v>/private/tmp/pestflow-desktop-qa-guardian/qa/guardian/change-map.json</x:v>
      </x:c>
      <x:c r="K33" s="166" t="str">
        <x:v>53d45f5</x:v>
      </x:c>
      <x:c r="L33" s="166" t="str">
        <x:v>Run the delegated staging suite.</x:v>
      </x:c>
      <x:c r="M33" s="166" t="str">
        <x:v>Done</x:v>
      </x:c>
      <x:c r="N33" s="166" t="str">
        <x:v>Closed a release-coverage gap discovered after the first green PR run.</x:v>
      </x:c>
    </x:row>
    <x:row r="34" ht="66" hidden="0" customHeight="1">
      <x:c r="A34" s="166" t="str">
        <x:v>AL-029</x:v>
      </x:c>
      <x:c r="B34" s="167" t="n">
        <x:v>46215.28418983796</x:v>
      </x:c>
      <x:c r="C34" s="166" t="str">
        <x:v>T-008</x:v>
      </x:c>
      <x:c r="D34" s="166" t="str">
        <x:v>Validate delegated desktop feature catalog</x:v>
      </x:c>
      <x:c r="E34" s="166" t="str">
        <x:v>Ran all 193 staging feature behaviors, diagnosed the one stale Tools-count assertion, replaced it with the stable Tools trigger contract, and reran the failing checkpoint.</x:v>
      </x:c>
      <x:c r="F34" s="166" t="str">
        <x:v>Playwright staging</x:v>
      </x:c>
      <x:c r="G34" s="166" t="str">
        <x:v>193/193 behaviors passed</x:v>
      </x:c>
      <x:c r="H34" s="166" t="str">
        <x:v>192 passed on the first sweep; repaired checkpoint passed independently with mocked delivery actions.</x:v>
      </x:c>
      <x:c r="I34" s="166" t="str">
        <x:v>Desktop staging</x:v>
      </x:c>
      <x:c r="J34" s="166" t="str">
        <x:v>https://pestflow-frontend-staging-dev.up.railway.app</x:v>
      </x:c>
      <x:c r="K34" s="166" t="str">
        <x:v>53d45f5</x:v>
      </x:c>
      <x:c r="L34" s="166" t="str">
        <x:v>Verify the updated PR release gate.</x:v>
      </x:c>
      <x:c r="M34" s="166" t="str">
        <x:v>Done</x:v>
      </x:c>
      <x:c r="N34" s="166" t="str">
        <x:v>No real email was sent; action endpoints were mocked.</x:v>
      </x:c>
    </x:row>
    <x:row r="35" ht="39.599998474121094" hidden="0" customHeight="1">
      <x:c r="A35" s="166" t="str">
        <x:v>AL-030</x:v>
      </x:c>
      <x:c r="B35" s="167" t="n">
        <x:v>46215.28418983796</x:v>
      </x:c>
      <x:c r="C35" s="166" t="str">
        <x:v>T-009</x:v>
      </x:c>
      <x:c r="D35" s="166" t="str">
        <x:v>Verify updated PR checkpoint</x:v>
      </x:c>
      <x:c r="E35" s="166" t="str">
        <x:v>Pushed the coverage hardening commit and watched the updated release gate.</x:v>
      </x:c>
      <x:c r="F35" s="166" t="str">
        <x:v>GitHub Actions</x:v>
      </x:c>
      <x:c r="G35" s="166" t="str">
        <x:v>Updated release gate passed</x:v>
      </x:c>
      <x:c r="H35" s="166" t="str">
        <x:v>Run 29183173099 completed successfully in 1m8s; artifact quota stayed non-blocking.</x:v>
      </x:c>
      <x:c r="I35" s="166" t="str">
        <x:v>GitHub runner</x:v>
      </x:c>
      <x:c r="J35" s="166" t="str">
        <x:v>https://github.com/gicheru214/pestflow-checkout-rebuild/actions/runs/29183173099</x:v>
      </x:c>
      <x:c r="K35" s="166" t="str">
        <x:v>53d45f5; PR #89</x:v>
      </x:c>
      <x:c r="L35" s="166" t="str">
        <x:v>Activate Browserbase after secrets/context are available.</x:v>
      </x:c>
      <x:c r="M35" s="166" t="str">
        <x:v>Done</x:v>
      </x:c>
      <x:c r="N35" s="166" t="str">
        <x:v>Draft PR remains mergeable and CI-green.</x:v>
      </x:c>
    </x:row>
    <x:row r="36" ht="72" customHeight="1">
      <x:c r="A36" s="170" t="str">
        <x:v>AL-031</x:v>
      </x:c>
      <x:c r="B36" s="171" t="n">
        <x:v>46215</x:v>
      </x:c>
      <x:c r="C36" s="170" t="str">
        <x:v>T-011</x:v>
      </x:c>
      <x:c r="D36" s="170" t="str">
        <x:v>Audit deployment wiring</x:v>
      </x:c>
      <x:c r="E36" s="170" t="str">
        <x:v>Inspected Railway configuration, in-repo workflows, and the GitHub branch-protection API.</x:v>
      </x:c>
      <x:c r="F36" s="170" t="str">
        <x:v>Railway config + GitHub API</x:v>
      </x:c>
      <x:c r="G36" s="170" t="str">
        <x:v>Integration gap confirmed</x:v>
      </x:c>
      <x:c r="H36" s="170" t="str">
        <x:v>No deploy workflow exists in repo; GitHub API returned 403 because protection needs a supported plan or public repo.</x:v>
      </x:c>
      <x:c r="I36" s="170" t="str">
        <x:v>N/A</x:v>
      </x:c>
      <x:c r="J36" s="170" t="str">
        <x:v>railway.toml; PR #89</x:v>
      </x:c>
      <x:c r="K36" s="170" t="str">
        <x:v>53d45f5</x:v>
      </x:c>
      <x:c r="L36" s="170" t="str">
        <x:v>Add exact-deployment proof before browser QA.</x:v>
      </x:c>
      <x:c r="M36" s="170" t="str">
        <x:v>Done</x:v>
      </x:c>
      <x:c r="N36" s="170" t="str">
        <x:v>Operational promotion wiring remains tracked under T-011.</x:v>
      </x:c>
    </x:row>
    <x:row r="37" ht="72" customHeight="1">
      <x:c r="A37" s="170" t="str">
        <x:v>AL-032</x:v>
      </x:c>
      <x:c r="B37" s="171" t="n">
        <x:v>46215</x:v>
      </x:c>
      <x:c r="C37" s="170" t="str">
        <x:v>T-008</x:v>
      </x:c>
      <x:c r="D37" s="170" t="str">
        <x:v>Expose deployed commit identity</x:v>
      </x:c>
      <x:c r="E37" s="170" t="str">
        <x:v>Added safe Railway commit, environment, and service metadata to frontend and API health responses.</x:v>
      </x:c>
      <x:c r="F37" s="170" t="str">
        <x:v>PestFlow frontend + API</x:v>
      </x:c>
      <x:c r="G37" s="170" t="str">
        <x:v>Health contract implemented</x:v>
      </x:c>
      <x:c r="H37" s="170" t="str">
        <x:v>TypeScript and focused lint passed; response exposes no credentials or customer data.</x:v>
      </x:c>
      <x:c r="I37" s="170" t="str">
        <x:v>N/A</x:v>
      </x:c>
      <x:c r="J37" s="170" t="str">
        <x:v>server/lib/deploymentIdentity.ts</x:v>
      </x:c>
      <x:c r="K37" s="170" t="str">
        <x:v>011d187; PR #89</x:v>
      </x:c>
      <x:c r="L37" s="170" t="str">
        <x:v>Make the release runner verify the expected SHA.</x:v>
      </x:c>
      <x:c r="M37" s="170" t="str">
        <x:v>Done</x:v>
      </x:c>
      <x:c r="N37" s="170" t="str">
        <x:v>Supports exact candidate certification during rollout.</x:v>
      </x:c>
    </x:row>
    <x:row r="38" ht="72" customHeight="1">
      <x:c r="A38" s="170" t="str">
        <x:v>AL-033</x:v>
      </x:c>
      <x:c r="B38" s="171" t="n">
        <x:v>46215</x:v>
      </x:c>
      <x:c r="C38" s="170" t="str">
        <x:v>T-008</x:v>
      </x:c>
      <x:c r="D38" s="170" t="str">
        <x:v>Verify exact candidate deployment</x:v>
      </x:c>
      <x:c r="E38" s="170" t="str">
        <x:v>Added a Guardian preflight that polls /health until deployment.commitSha matches expected_sha or times out.</x:v>
      </x:c>
      <x:c r="F38" s="170" t="str">
        <x:v>Guardian + release gate</x:v>
      </x:c>
      <x:c r="G38" s="170" t="str">
        <x:v>Stale-build guard implemented</x:v>
      </x:c>
      <x:c r="H38" s="170" t="str">
        <x:v>24/24 policy tests passed, including abbreviated SHA, stale rollout, success, and timeout cases.</x:v>
      </x:c>
      <x:c r="I38" s="170" t="str">
        <x:v>All registry sizes</x:v>
      </x:c>
      <x:c r="J38" s="170" t="str">
        <x:v>scripts/lib/qa-deployment-preflight.mjs</x:v>
      </x:c>
      <x:c r="K38" s="170" t="str">
        <x:v>011d187; PR #89</x:v>
      </x:c>
      <x:c r="L38" s="170" t="str">
        <x:v>Document and connect the deployment contract.</x:v>
      </x:c>
      <x:c r="M38" s="170" t="str">
        <x:v>Done</x:v>
      </x:c>
      <x:c r="N38" s="170" t="str">
        <x:v>Prevents testing the previous healthy deployment.</x:v>
      </x:c>
    </x:row>
    <x:row r="39" ht="72" customHeight="1">
      <x:c r="A39" s="170" t="str">
        <x:v>AL-034</x:v>
      </x:c>
      <x:c r="B39" s="171" t="n">
        <x:v>46215</x:v>
      </x:c>
      <x:c r="C39" s="170" t="str">
        <x:v>T-009</x:v>
      </x:c>
      <x:c r="D39" s="170" t="str">
        <x:v>Write two-part product PRD</x:v>
      </x:c>
      <x:c r="E39" s="170" t="str">
        <x:v>Created a beginner-friendly PestFlow/testing explanation plus full product requirements, safeguards, data model, metrics, and rollout.</x:v>
      </x:c>
      <x:c r="F39" s="170" t="str">
        <x:v>Documentation</x:v>
      </x:c>
      <x:c r="G39" s="170" t="str">
        <x:v>PRD complete</x:v>
      </x:c>
      <x:c r="H39" s="170" t="str">
        <x:v>Reconciled the attached ultimate plan with implemented and explicitly planned capabilities.</x:v>
      </x:c>
      <x:c r="I39" s="170" t="str">
        <x:v>Desktop documentation</x:v>
      </x:c>
      <x:c r="J39" s="170" t="str">
        <x:v>docs/reliability-command-center/PRD.md</x:v>
      </x:c>
      <x:c r="K39" s="170" t="str">
        <x:v>011d187; PR #89</x:v>
      </x:c>
      <x:c r="L39" s="170" t="str">
        <x:v>Complete the engineering folder/file guide.</x:v>
      </x:c>
      <x:c r="M39" s="170" t="str">
        <x:v>Done</x:v>
      </x:c>
      <x:c r="N39" s="170" t="str">
        <x:v>Does not overclaim the later dashboard or backend-oracle phases.</x:v>
      </x:c>
    </x:row>
    <x:row r="40" ht="72" customHeight="1">
      <x:c r="A40" s="170" t="str">
        <x:v>AL-035</x:v>
      </x:c>
      <x:c r="B40" s="171" t="n">
        <x:v>46215</x:v>
      </x:c>
      <x:c r="C40" s="170" t="str">
        <x:v>T-009</x:v>
      </x:c>
      <x:c r="D40" s="170" t="str">
        <x:v>Document the QA codebase</x:v>
      </x:c>
      <x:c r="E40" s="170" t="str">
        <x:v>Documented every relevant QA folder, registry, library, runner, suite, workflow, health hook, artifact, command, and safety invariant.</x:v>
      </x:c>
      <x:c r="F40" s="170" t="str">
        <x:v>Documentation</x:v>
      </x:c>
      <x:c r="G40" s="170" t="str">
        <x:v>Codebase guide complete</x:v>
      </x:c>
      <x:c r="H40" s="170" t="str">
        <x:v>Cross-checked the guide against the branch file inventory and current behavior.</x:v>
      </x:c>
      <x:c r="I40" s="170" t="str">
        <x:v>Desktop documentation</x:v>
      </x:c>
      <x:c r="J40" s="170" t="str">
        <x:v>docs/reliability-command-center/CODEBASE_GUIDE.md</x:v>
      </x:c>
      <x:c r="K40" s="170" t="str">
        <x:v>011d187; PR #89</x:v>
      </x:c>
      <x:c r="L40" s="170" t="str">
        <x:v>Run final repo audit, commit, push, and recheck PR CI.</x:v>
      </x:c>
      <x:c r="M40" s="170" t="str">
        <x:v>Done</x:v>
      </x:c>
      <x:c r="N40" s="170" t="str">
        <x:v>README links the PRD, guide, and operator runbook.</x:v>
      </x:c>
    </x:row>
    <x:row r="41" ht="72" customHeight="1">
      <x:c r="A41" s="170" t="str">
        <x:v>AL-036</x:v>
      </x:c>
      <x:c r="B41" s="171" t="n">
        <x:v>46215</x:v>
      </x:c>
      <x:c r="C41" s="170" t="str">
        <x:v>T-009</x:v>
      </x:c>
      <x:c r="D41" s="170" t="str">
        <x:v>Verify final documented checkpoint</x:v>
      </x:c>
      <x:c r="E41" s="170" t="str">
        <x:v>Pushed commit 011d187, updated draft PR #89, and watched its release-gate workflow to completion.</x:v>
      </x:c>
      <x:c r="F41" s="170" t="str">
        <x:v>GitHub Actions</x:v>
      </x:c>
      <x:c r="G41" s="170" t="str">
        <x:v>Final PR gate passed</x:v>
      </x:c>
      <x:c r="H41" s="170" t="str">
        <x:v>Run 29201289406 completed successfully in 1m12s after 744 unit, 24 policy, 12 incident, build, type, lint, and workflow checks passed locally.</x:v>
      </x:c>
      <x:c r="I41" s="170" t="str">
        <x:v>GitHub runner</x:v>
      </x:c>
      <x:c r="J41" s="170" t="str">
        <x:v>https://github.com/gicheru214/pestflow-checkout-rebuild/actions/runs/29201289406</x:v>
      </x:c>
      <x:c r="K41" s="170" t="str">
        <x:v>011d187; PR #89</x:v>
      </x:c>
      <x:c r="L41" s="170" t="str">
        <x:v>Activate Browserbase secrets/context, then connect the exact-SHA gate to the real deployment promotion.</x:v>
      </x:c>
      <x:c r="M41" s="170" t="str">
        <x:v>Done</x:v>
      </x:c>
      <x:c r="N41" s="170" t="str">
        <x:v>Branch is clean, remote SHA matches, PR is mergeable, and required CI is green.</x:v>
      </x:c>
    </x:row>
    <x:row r="42" ht="78" customHeight="1">
      <x:c r="A42" s="170" t="str">
        <x:v>AL-037</x:v>
      </x:c>
      <x:c r="B42" s="171" t="n">
        <x:v>46215.72222222222</x:v>
      </x:c>
      <x:c r="C42" s="170" t="str">
        <x:v>T-003</x:v>
      </x:c>
      <x:c r="D42" s="170" t="str">
        <x:v>Capture browser network and page failures</x:v>
      </x:c>
      <x:c r="E42" s="170" t="str">
        <x:v>Added sanitized failed-request/response and uncaught page-error evidence, first-party severity policy, query redaction, and incident handoff coverage.</x:v>
      </x:c>
      <x:c r="F42" s="170" t="str">
        <x:v>Stagehand + Playwright events</x:v>
      </x:c>
      <x:c r="G42" s="170" t="str">
        <x:v>Network evidence gap closed</x:v>
      </x:c>
      <x:c r="H42" s="170" t="str">
        <x:v>31/31 Guardian policy/evidence tests, 13/13 incident tests, 744/744 unit tests, build, TypeScript, lint, workflow parsing, and PR run 29201788958 passed.</x:v>
      </x:c>
      <x:c r="I42" s="170" t="str">
        <x:v>All Guardian desktop sizes</x:v>
      </x:c>
      <x:c r="J42" s="170" t="str">
        <x:v>scripts/lib/qa-browser-evidence.mjs; run 29201788958</x:v>
      </x:c>
      <x:c r="K42" s="170" t="str">
        <x:v>9ad8083; PR #89</x:v>
      </x:c>
      <x:c r="L42" s="170" t="str">
        <x:v>Continue expanding outcome-oracle coverage; live sessions still require Browserbase activation.</x:v>
      </x:c>
      <x:c r="M42" s="170" t="str">
        <x:v>Done</x:v>
      </x:c>
      <x:c r="N42" s="170" t="str">
        <x:v>Expected anonymous 401s, analytics failures, and aborted navigation are retained or ignored without creating false product failures.</x:v>
      </x:c>
    </x:row>
    <x:row r="43" ht="82" customHeight="1">
      <x:c r="A43" s="170" t="str">
        <x:v>AL-038</x:v>
      </x:c>
      <x:c r="B43" s="171" t="n">
        <x:v>46215.73472222222</x:v>
      </x:c>
      <x:c r="C43" s="170" t="str">
        <x:v>T-008</x:v>
      </x:c>
      <x:c r="D43" s="170" t="str">
        <x:v>Add read-only production outcome oracles</x:v>
      </x:c>
      <x:c r="E43" s="170" t="str">
        <x:v>Added GET-only, origin-pinned frontend/API identity, database clock, and critical-schema checks; required complete oracle evidence in the release verdict and incident flow.</x:v>
      </x:c>
      <x:c r="F43" s="170" t="str">
        <x:v>PestFlow health endpoints</x:v>
      </x:c>
      <x:c r="G43" s="170" t="str">
        <x:v>Outcome layer implemented</x:v>
      </x:c>
      <x:c r="H43" s="170" t="str">
        <x:v>40/40 Guardian policy/oracle tests and 14/14 incident tests passed; artifacts retain assertion metadata but no response bodies.</x:v>
      </x:c>
      <x:c r="I43" s="170" t="str">
        <x:v>N/A</x:v>
      </x:c>
      <x:c r="J43" s="170" t="str">
        <x:v>qa/guardian/outcome-oracles.json; scripts/lib/qa-outcome-oracles.mjs</x:v>
      </x:c>
      <x:c r="K43" s="170" t="str">
        <x:v>ba58b35; PR #89</x:v>
      </x:c>
      <x:c r="L43" s="170" t="str">
        <x:v>Activate the deploy gate so the same commit is checked after deployment.</x:v>
      </x:c>
      <x:c r="M43" s="170" t="str">
        <x:v>Done</x:v>
      </x:c>
      <x:c r="N43" s="170" t="str">
        <x:v>Writes, query strings, fragments, cross-origin escapes, incomplete evidence, and missing selected journeys fail closed.</x:v>
      </x:c>
    </x:row>
    <x:row r="44" ht="82" customHeight="1">
      <x:c r="A44" s="170" t="str">
        <x:v>AL-039</x:v>
      </x:c>
      <x:c r="B44" s="171" t="n">
        <x:v>46215.73472222222</x:v>
      </x:c>
      <x:c r="C44" s="170" t="str">
        <x:v>T-011</x:v>
      </x:c>
      <x:c r="D44" s="170" t="str">
        <x:v>Verify production outcome-oracle baseline</x:v>
      </x:c>
      <x:c r="E44" s="170" t="str">
        <x:v>Ran all four public oracles against the currently served production frontend, API, database, and schema.</x:v>
      </x:c>
      <x:c r="F44" s="170" t="str">
        <x:v>Production HTTP</x:v>
      </x:c>
      <x:c r="G44" s="170" t="str">
        <x:v>2 passed; 2 failed</x:v>
      </x:c>
      <x:c r="H44" s="170" t="str">
        <x:v>Database clock and critical schema passed. Frontend/API returned HTTP 200 but lack deployment.commitSha because production predates this branch.</x:v>
      </x:c>
      <x:c r="I44" s="170" t="str">
        <x:v>Production</x:v>
      </x:c>
      <x:c r="J44" s="170" t="str">
        <x:v>https://new.pestflow.org/health; https://api.pestflow.org/health</x:v>
      </x:c>
      <x:c r="K44" s="170" t="str">
        <x:v>ba58b35; PR #89</x:v>
      </x:c>
      <x:c r="L44" s="170" t="str">
        <x:v>Merge/deploy the health contract, rerun all four, then require the candidate gate before promotion.</x:v>
      </x:c>
      <x:c r="M44" s="170" t="str">
        <x:v>Done</x:v>
      </x:c>
      <x:c r="N44" s="170" t="str">
        <x:v>Recorded as a real failed deployment-identity check, not converted into a green result.</x:v>
      </x:c>
    </x:row>
    <x:row r="45" ht="82" customHeight="1">
      <x:c r="A45" s="170" t="str">
        <x:v>AL-040</x:v>
      </x:c>
      <x:c r="B45" s="171" t="n">
        <x:v>46215.73472222222</x:v>
      </x:c>
      <x:c r="C45" s="170" t="str">
        <x:v>T-009</x:v>
      </x:c>
      <x:c r="D45" s="170" t="str">
        <x:v>Publish and verify outcome-oracle checkpoint</x:v>
      </x:c>
      <x:c r="E45" s="170" t="str">
        <x:v>Committed and pushed ba58b35, updated draft PR #89, and watched the new release-gate workflow to completion.</x:v>
      </x:c>
      <x:c r="F45" s="170" t="str">
        <x:v>GitHub Actions</x:v>
      </x:c>
      <x:c r="G45" s="170" t="str">
        <x:v>PR release gate passed</x:v>
      </x:c>
      <x:c r="H45" s="170" t="str">
        <x:v>Run 29202648617 passed in 1m11s after selector, 40 policy/oracle tests, 14 incident tests, and the production build passed.</x:v>
      </x:c>
      <x:c r="I45" s="170" t="str">
        <x:v>GitHub runner</x:v>
      </x:c>
      <x:c r="J45" s="170" t="str">
        <x:v>https://github.com/gicheru214/pestflow-checkout-rebuild/actions/runs/29202648617</x:v>
      </x:c>
      <x:c r="K45" s="170" t="str">
        <x:v>a110f26; PR #89</x:v>
      </x:c>
      <x:c r="L45" s="170" t="str">
        <x:v>Complete Browserbase and deployment activation tasks T-010 and T-011.</x:v>
      </x:c>
      <x:c r="M45" s="170" t="str">
        <x:v>Done</x:v>
      </x:c>
      <x:c r="N45" s="170" t="str">
        <x:v>Artifact quota remained non-blocking; PR is mergeable and the head SHA matches the remote branch.</x:v>
      </x:c>
    </x:row>
    <x:row r="46" ht="82" customHeight="1">
      <x:c r="A46" s="170" t="str">
        <x:v>AL-041</x:v>
      </x:c>
      <x:c r="B46" s="171" t="n">
        <x:v>46215.74166666667</x:v>
      </x:c>
      <x:c r="C46" s="170" t="str">
        <x:v>T-011</x:v>
      </x:c>
      <x:c r="D46" s="170" t="str">
        <x:v>Audit Railway and staging outcome baseline</x:v>
      </x:c>
      <x:c r="E46" s="170" t="str">
        <x:v>Used the authenticated Railway CLI read-only to identify the PestFlow project/services and ran the environment-labeled oracle set against staging.</x:v>
      </x:c>
      <x:c r="F46" s="170" t="str">
        <x:v>Railway CLI + staging HTTP</x:v>
      </x:c>
      <x:c r="G46" s="170" t="str">
        <x:v>2 passed; 2 failed</x:v>
      </x:c>
      <x:c r="H46" s="170" t="str">
        <x:v>Staging DB/schema passed. Staging frontend/API also predate deployment.commitSha. No deployment, variable, domain, or service state was changed.</x:v>
      </x:c>
      <x:c r="I46" s="170" t="str">
        <x:v>Staging</x:v>
      </x:c>
      <x:c r="J46" s="170" t="str">
        <x:v>https://pestflow-frontend-staging-dev.up.railway.app/health; https://api-dev.pestflow.org/health</x:v>
      </x:c>
      <x:c r="K46" s="170" t="str">
        <x:v>a110f26; PR #89</x:v>
      </x:c>
      <x:c r="L46" s="170" t="str">
        <x:v>Deploy the branch to an isolated candidate, rerun 4/4 with expected_sha, then connect promotion policy.</x:v>
      </x:c>
      <x:c r="M46" s="170" t="str">
        <x:v>Done</x:v>
      </x:c>
      <x:c r="N46" s="170" t="str">
        <x:v>Oracle artifacts now label staging versus production instead of calling every database production.</x:v>
      </x:c>
    </x:row>
    <x:row r="47" ht="86" customHeight="1">
      <x:c r="A47" s="170" t="str">
        <x:v>AL-042</x:v>
      </x:c>
      <x:c r="B47" s="171" t="n">
        <x:v>46215.756944444445</x:v>
      </x:c>
      <x:c r="C47" s="170" t="str">
        <x:v>T-003</x:v>
      </x:c>
      <x:c r="D47" s="170" t="str">
        <x:v>Expand authenticated desktop owner smoke</x:v>
      </x:c>
      <x:c r="E47" s="170" t="str">
        <x:v>Extended the Checkly canary login into read-only dashboard, customers, jobs, invoices, and reports checks with route contracts, overflow, browser errors, and first-party network failures.</x:v>
      </x:c>
      <x:c r="F47" s="170" t="str">
        <x:v>Checkly + Playwright</x:v>
      </x:c>
      <x:c r="G47" s="170" t="str">
        <x:v>Authenticated fallback implemented</x:v>
      </x:c>
      <x:c r="H47" s="170" t="str">
        <x:v>Checkly bundling/list validation, TypeScript, focused ESLint, and workflow YAML parsing passed.</x:v>
      </x:c>
      <x:c r="I47" s="170" t="str">
        <x:v>1366×900</x:v>
      </x:c>
      <x:c r="J47" s="170" t="str">
        <x:v>checkly/browser/desktop-login.spec.ts</x:v>
      </x:c>
      <x:c r="K47" s="170" t="str">
        <x:v>e53b32c + 75e374b; PR #89</x:v>
      </x:c>
      <x:c r="L47" s="170" t="str">
        <x:v>Run the exact owner smoke in Checkly without email.</x:v>
      </x:c>
      <x:c r="M47" s="170" t="str">
        <x:v>Done</x:v>
      </x:c>
      <x:c r="N47" s="170" t="str">
        <x:v>No create, send, payment, or other state-changing action is clicked.</x:v>
      </x:c>
    </x:row>
    <x:row r="48" ht="86" customHeight="1">
      <x:c r="A48" s="170" t="str">
        <x:v>AL-043</x:v>
      </x:c>
      <x:c r="B48" s="171" t="n">
        <x:v>46215.756944444445</x:v>
      </x:c>
      <x:c r="C48" s="170" t="str">
        <x:v>T-003</x:v>
      </x:c>
      <x:c r="D48" s="170" t="str">
        <x:v>Classify the first authenticated cloud run</x:v>
      </x:c>
      <x:c r="E48" s="170" t="str">
        <x:v>Ran the complete Checkly catalog with email disabled, read the failure logs, and separated desktop selector drift from an independent mobile-signup failure.</x:v>
      </x:c>
      <x:c r="F48" s="170" t="str">
        <x:v>GitHub Actions + Checkly</x:v>
      </x:c>
      <x:c r="G48" s="170" t="str">
        <x:v>Failure split into two causes</x:v>
      </x:c>
      <x:c r="H48" s="170" t="str">
        <x:v>Run 29202904316: 6/8 checks passed; desktop stopped on a Jobs heading locator and mobile signup timed out at auth-role. Email step was skipped.</x:v>
      </x:c>
      <x:c r="I48" s="170" t="str">
        <x:v>Cloud browsers</x:v>
      </x:c>
      <x:c r="J48" s="170" t="str">
        <x:v>https://github.com/gicheru214/pestflow-checkout-rebuild/actions/runs/29202904316</x:v>
      </x:c>
      <x:c r="K48" s="170" t="str">
        <x:v>75e374b; PR #89</x:v>
      </x:c>
      <x:c r="L48" s="170" t="str">
        <x:v>Use stable route-action selectors and rerun only the owner smoke.</x:v>
      </x:c>
      <x:c r="M48" s="170" t="str">
        <x:v>Done</x:v>
      </x:c>
      <x:c r="N48" s="170" t="str">
        <x:v>Mobile signup remains a separate follow-up instead of being hidden by the desktop repair.</x:v>
      </x:c>
    </x:row>
    <x:row r="49" ht="86" customHeight="1">
      <x:c r="A49" s="170" t="str">
        <x:v>AL-044</x:v>
      </x:c>
      <x:c r="B49" s="171" t="n">
        <x:v>46215.756944444445</x:v>
      </x:c>
      <x:c r="C49" s="170" t="str">
        <x:v>T-003</x:v>
      </x:c>
      <x:c r="D49" s="170" t="str">
        <x:v>Verify isolated authenticated owner routes</x:v>
      </x:c>
      <x:c r="E49" s="170" t="str">
        <x:v>Replaced the brittle Jobs heading with unique data-tour action contracts, added an isolated manual workflow input, and ran only the owner check without email.</x:v>
      </x:c>
      <x:c r="F49" s="170" t="str">
        <x:v>Checkly cloud + GitHub Actions</x:v>
      </x:c>
      <x:c r="G49" s="170" t="str">
        <x:v>Authenticated owner smoke passed</x:v>
      </x:c>
      <x:c r="H49" s="170" t="str">
        <x:v>Run 29203229913 passed 1/1 in 18s; incident package was passed. PR release gate 29203343650 then passed in 1m3s on the final documentation head.</x:v>
      </x:c>
      <x:c r="I49" s="170" t="str">
        <x:v>1366×900</x:v>
      </x:c>
      <x:c r="J49" s="170" t="str">
        <x:v>https://github.com/gicheru214/pestflow-checkout-rebuild/actions/runs/29203229913</x:v>
      </x:c>
      <x:c r="K49" s="170" t="str">
        <x:v>d3c3dcb; PR #89</x:v>
      </x:c>
      <x:c r="L49" s="170" t="str">
        <x:v>Deploy the reviewed Checkly config after approval; continue T-010/T-011 activation.</x:v>
      </x:c>
      <x:c r="M49" s="170" t="str">
        <x:v>Done</x:v>
      </x:c>
      <x:c r="N49" s="170" t="str">
        <x:v>The branch proof is real but does not silently mutate the managed six-hour Checkly definition.</x:v>
      </x:c>
    </x:row>
    <x:row r="50" ht="90" customHeight="1">
      <x:c r="A50" s="170" t="str">
        <x:v>AL-045</x:v>
      </x:c>
      <x:c r="B50" s="171" t="n">
        <x:v>46215.76180555556</x:v>
      </x:c>
      <x:c r="C50" s="170" t="str">
        <x:v>T-013</x:v>
      </x:c>
      <x:c r="D50" s="170" t="str">
        <x:v>Resolve mobile field signup Checkly failure</x:v>
      </x:c>
      <x:c r="E50" s="170" t="str">
        <x:v>Confirmed the live signup reached role selection, replaced a whole-body hidden-DOM assertion with active-screen state contracts, and added an isolated no-email workflow mode.</x:v>
      </x:c>
      <x:c r="F50" s="170" t="str">
        <x:v>Checkly cloud + GitHub Actions</x:v>
      </x:c>
      <x:c r="G50" s="170" t="str">
        <x:v>False failure removed; live flow passed</x:v>
      </x:c>
      <x:c r="H50" s="170" t="str">
        <x:v>Run 29203535900 passed 1/1 in 7s; workflow completed successfully in 51s and the incident package reported passed.</x:v>
      </x:c>
      <x:c r="I50" s="170" t="str">
        <x:v>390×844</x:v>
      </x:c>
      <x:c r="J50" s="170" t="str">
        <x:v>https://github.com/gicheru214/pestflow-checkout-rebuild/actions/runs/29203535900</x:v>
      </x:c>
      <x:c r="K50" s="170" t="str">
        <x:v>325541d; PR #89</x:v>
      </x:c>
      <x:c r="L50" s="170" t="str">
        <x:v>Keep the focused check in the daily catalog; managed six-hour Checkly deployment remains deliberate post-review work.</x:v>
      </x:c>
      <x:c r="M50" s="170" t="str">
        <x:v>Done</x:v>
      </x:c>
      <x:c r="N50" s="170" t="str">
        <x:v>The prior account-locked text came from a dormant screen retained in the single-page DOM, not the visible signup result.</x:v>
      </x:c>
    </x:row>
    <x:row r="51" ht="78" customHeight="1">
      <x:c r="A51" s="170" t="str">
        <x:v>AL-046</x:v>
      </x:c>
      <x:c r="B51" s="171" t="n">
        <x:v>46215.76180555556</x:v>
      </x:c>
      <x:c r="C51" s="170" t="str">
        <x:v>T-009</x:v>
      </x:c>
      <x:c r="D51" s="170" t="str">
        <x:v>Verify final mobile-repair PR head</x:v>
      </x:c>
      <x:c r="E51" s="170" t="str">
        <x:v>Confirmed the pushed head, updated draft PR #89 evidence, and verified the release gate on the same commit as the successful mobile cloud proof.</x:v>
      </x:c>
      <x:c r="F51" s="170" t="str">
        <x:v>GitHub Actions</x:v>
      </x:c>
      <x:c r="G51" s="170" t="str">
        <x:v>Final PR head is CI-green</x:v>
      </x:c>
      <x:c r="H51" s="170" t="str">
        <x:v>Run 29203534314 passed in 1m10s on commit 325541d; PR #89 is mergeable with a clean merge state.</x:v>
      </x:c>
      <x:c r="I51" s="170" t="str">
        <x:v>GitHub runner</x:v>
      </x:c>
      <x:c r="J51" s="170" t="str">
        <x:v>https://github.com/gicheru214/pestflow-checkout-rebuild/actions/runs/29203534314</x:v>
      </x:c>
      <x:c r="K51" s="170" t="str">
        <x:v>325541d; PR #89</x:v>
      </x:c>
      <x:c r="L51" s="170" t="str">
        <x:v>Review and activate the separately tracked Browserbase/candidate-deploy boundaries.</x:v>
      </x:c>
      <x:c r="M51" s="170" t="str">
        <x:v>Done</x:v>
      </x:c>
      <x:c r="N51" s="170" t="str">
        <x:v>The final SHA has both release-gate and isolated mobile signup proof.</x:v>
      </x:c>
    </x:row>
    <x:row r="52" ht="90" customHeight="1">
      <x:c r="A52" s="170" t="str">
        <x:v>AL-047</x:v>
      </x:c>
      <x:c r="B52" s="171" t="n">
        <x:v>46215.77222222222</x:v>
      </x:c>
      <x:c r="C52" s="170" t="str">
        <x:v>T-011</x:v>
      </x:c>
      <x:c r="D52" s="170" t="str">
        <x:v>Audit automatic candidate deployment availability</x:v>
      </x:c>
      <x:c r="E52" s="170" t="str">
        <x:v>Checked GitHub deployments and Railway environments for the exact PR branch before attempting candidate certification.</x:v>
      </x:c>
      <x:c r="F52" s="170" t="str">
        <x:v>GitHub API + Railway CLI</x:v>
      </x:c>
      <x:c r="G52" s="170" t="str">
        <x:v>No candidate exists</x:v>
      </x:c>
      <x:c r="H52" s="170" t="str">
        <x:v>GitHub returned no branch deployments; Railway staging and production are older builds. No deploy or environment state was changed.</x:v>
      </x:c>
      <x:c r="I52" s="170" t="str">
        <x:v>Staging + production</x:v>
      </x:c>
      <x:c r="J52" s="170" t="str">
        <x:v>PR #89; Railway project pestflow-app-newdb</x:v>
      </x:c>
      <x:c r="K52" s="170" t="str">
        <x:v>0db5838; PR #89</x:v>
      </x:c>
      <x:c r="L52" s="170" t="str">
        <x:v>Create or approve an isolated candidate deployment before exact-SHA certification.</x:v>
      </x:c>
      <x:c r="M52" s="170" t="str">
        <x:v>Done</x:v>
      </x:c>
      <x:c r="N52" s="170" t="str">
        <x:v>The tracker does not mislabel testing of an older healthy deployment as candidate proof.</x:v>
      </x:c>
    </x:row>
    <x:row r="53" ht="90" customHeight="1">
      <x:c r="A53" s="170" t="str">
        <x:v>AL-048</x:v>
      </x:c>
      <x:c r="B53" s="171" t="n">
        <x:v>46215.77222222222</x:v>
      </x:c>
      <x:c r="C53" s="170" t="str">
        <x:v>T-003</x:v>
      </x:c>
      <x:c r="D53" s="170" t="str">
        <x:v>Classify final-head full Checkly catalog run</x:v>
      </x:c>
      <x:c r="E53" s="170" t="str">
        <x:v>Ran all eight cloud browser checks together with email disabled and separated seven passing journeys from one intermittent Reports readiness miss.</x:v>
      </x:c>
      <x:c r="F53" s="170" t="str">
        <x:v>Checkly cloud + GitHub Actions</x:v>
      </x:c>
      <x:c r="G53" s="170" t="str">
        <x:v>7 passed; 1 intermittent failure</x:v>
      </x:c>
      <x:c r="H53" s="170" t="str">
        <x:v>Run 29203761187: all signup, OAuth, mobile login/invoice, and desktop signup checks passed; desktop owner stopped after Reports lacked its heading for 30s.</x:v>
      </x:c>
      <x:c r="I53" s="170" t="str">
        <x:v>Desktop + mobile</x:v>
      </x:c>
      <x:c r="J53" s="170" t="str">
        <x:v>https://github.com/gicheru214/pestflow-checkout-rebuild/actions/runs/29203761187</x:v>
      </x:c>
      <x:c r="K53" s="170" t="str">
        <x:v>325541d; PR #89</x:v>
      </x:c>
      <x:c r="L53" s="170" t="str">
        <x:v>Rerun owner alone, add sanitized route diagnostics, and align proof retries with managed checks.</x:v>
      </x:c>
      <x:c r="M53" s="170" t="str">
        <x:v>Done</x:v>
      </x:c>
      <x:c r="N53" s="170" t="str">
        <x:v>The immediately following isolated owner run 29203862136 passed in 17s, proving intermittent rather than persistent failure.</x:v>
      </x:c>
    </x:row>
    <x:row r="54" ht="90" customHeight="1">
      <x:c r="A54" s="170" t="str">
        <x:v>AL-049</x:v>
      </x:c>
      <x:c r="B54" s="171" t="n">
        <x:v>46215.77222222222</x:v>
      </x:c>
      <x:c r="C54" s="170" t="str">
        <x:v>T-003</x:v>
      </x:c>
      <x:c r="D54" s="170" t="str">
        <x:v>Instrument intermittent desktop route readiness</x:v>
      </x:c>
      <x:c r="E54" s="170" t="str">
        <x:v>Added query-free first-party network evidence, per-route readiness timings, sanitized route-state diagnostics, and the single CLI retry already configured on every managed check.</x:v>
      </x:c>
      <x:c r="F54" s="170" t="str">
        <x:v>Checkly + Playwright</x:v>
      </x:c>
      <x:c r="G54" s="170" t="str">
        <x:v>Diagnostics and retry parity implemented</x:v>
      </x:c>
      <x:c r="H54" s="170" t="str">
        <x:v>Checkly bundle/list, TypeScript, focused ESLint, workflow YAML parse, and git diff checks passed.</x:v>
      </x:c>
      <x:c r="I54" s="170" t="str">
        <x:v>1366×900</x:v>
      </x:c>
      <x:c r="J54" s="170" t="str">
        <x:v>checkly/browser/desktop-login.spec.ts; .github/workflows/checkly-proof-report.yml</x:v>
      </x:c>
      <x:c r="K54" s="170" t="str">
        <x:v>0db5838; PR #89</x:v>
      </x:c>
      <x:c r="L54" s="170" t="str">
        <x:v>Run the complete catalog again and verify whether a retry is actually needed.</x:v>
      </x:c>
      <x:c r="M54" s="170" t="str">
        <x:v>Done</x:v>
      </x:c>
      <x:c r="N54" s="170" t="str">
        <x:v>Diagnostics exclude query strings and arbitrary page content; first-attempt failures remain visible in Checkly evidence.</x:v>
      </x:c>
    </x:row>
    <x:row r="55" ht="90" customHeight="1">
      <x:c r="A55" s="170" t="str">
        <x:v>AL-050</x:v>
      </x:c>
      <x:c r="B55" s="171" t="n">
        <x:v>46215.77222222222</x:v>
      </x:c>
      <x:c r="C55" s="170" t="str">
        <x:v>T-003</x:v>
      </x:c>
      <x:c r="D55" s="170" t="str">
        <x:v>Verify complete final-head cloud catalog</x:v>
      </x:c>
      <x:c r="E55" s="170" t="str">
        <x:v>Reran all eight Checkly browser checks on commit 0db5838 with email disabled, then verified the exact-head PR release gate and merge state.</x:v>
      </x:c>
      <x:c r="F55" s="170" t="str">
        <x:v>Checkly cloud + GitHub Actions</x:v>
      </x:c>
      <x:c r="G55" s="170" t="str">
        <x:v>8/8 passed on first attempt</x:v>
      </x:c>
      <x:c r="H55" s="170" t="str">
        <x:v>Checkly run 29204005998 passed all eight checks in 1m6s without using the retry. Release gate 29203992162 passed in 1m6s; PR is mergeable and clean.</x:v>
      </x:c>
      <x:c r="I55" s="170" t="str">
        <x:v>Desktop + mobile</x:v>
      </x:c>
      <x:c r="J55" s="170" t="str">
        <x:v>https://github.com/gicheru214/pestflow-checkout-rebuild/actions/runs/29204005998</x:v>
      </x:c>
      <x:c r="K55" s="170" t="str">
        <x:v>0db5838; PR #89</x:v>
      </x:c>
      <x:c r="L55" s="170" t="str">
        <x:v>Watch scheduled route timing evidence and activate Browserbase/candidate gates when credentials and deployment authority are available.</x:v>
      </x:c>
      <x:c r="M55" s="170" t="str">
        <x:v>Done</x:v>
      </x:c>
      <x:c r="N55" s="170" t="str">
        <x:v>This is complete-catalog branch proof, not a claim that the managed Checkly definition or candidate deployment has been activated.</x:v>
      </x:c>
    </x:row>
    <x:row r="56" ht="92" customHeight="1">
      <x:c r="A56" s="170" t="str">
        <x:v>AL-051</x:v>
      </x:c>
      <x:c r="B56" s="171" t="n">
        <x:v>46215.782638888886</x:v>
      </x:c>
      <x:c r="C56" s="170" t="str">
        <x:v>T-014</x:v>
      </x:c>
      <x:c r="D56" s="170" t="str">
        <x:v>Trace intermittent Reports readiness boundary</x:v>
      </x:c>
      <x:c r="E56" s="170" t="str">
        <x:v>Traced the protected route, mobile gate, React Suspense fallback, auth loading state, Reports lazy chunk, and built asset sizes.</x:v>
      </x:c>
      <x:c r="F56" s="170" t="str">
        <x:v>Source + production build</x:v>
      </x:c>
      <x:c r="G56" s="170" t="str">
        <x:v>Perceived-broken loading gap found</x:v>
      </x:c>
      <x:c r="H56" s="170" t="str">
        <x:v>Reports renders its heading before data fetch and its chunk is about 38.9 kB; the shared lazy/session fallback exposed only an unlabeled spinner with no recovery action.</x:v>
      </x:c>
      <x:c r="I56" s="170" t="str">
        <x:v>Desktop</x:v>
      </x:c>
      <x:c r="J56" s="170" t="str">
        <x:v>src/routes/redirects.tsx; src/components/ProtectedRoute.tsx; dist/assets/Reports-*.js</x:v>
      </x:c>
      <x:c r="K56" s="170" t="str">
        <x:v>13cdcac; PR #89</x:v>
      </x:c>
      <x:c r="L56" s="170" t="str">
        <x:v>Make delayed route loading understandable and recoverable, then preserve the boundary in tests.</x:v>
      </x:c>
      <x:c r="M56" s="170" t="str">
        <x:v>Done</x:v>
      </x:c>
      <x:c r="N56" s="170" t="str">
        <x:v>The evidence points to route/session/chunk readiness rather than the Reports data-fetch render path.</x:v>
      </x:c>
    </x:row>
    <x:row r="57" ht="92" customHeight="1">
      <x:c r="A57" s="170" t="str">
        <x:v>AL-052</x:v>
      </x:c>
      <x:c r="B57" s="171" t="n">
        <x:v>46215.782638888886</x:v>
      </x:c>
      <x:c r="C57" s="170" t="str">
        <x:v>T-014</x:v>
      </x:c>
      <x:c r="D57" s="170" t="str">
        <x:v>Add stalled-route recovery and deeper diagnostics</x:v>
      </x:c>
      <x:c r="E57" s="170" t="str">
        <x:v>Replaced the anonymous spinner with an accessible Loading PestFlow status and a twelve-second delayed explanation/reload action; added loader counts, same-origin resource timing, and successful route timing logs.</x:v>
      </x:c>
      <x:c r="F57" s="170" t="str">
        <x:v>React + Checkly</x:v>
      </x:c>
      <x:c r="G57" s="170" t="str">
        <x:v>Recovery path implemented</x:v>
      </x:c>
      <x:c r="H57" s="170" t="str">
        <x:v>Two focused fallback tests, TypeScript, focused ESLint, Checkly bundle/list, and workflow parsing passed.</x:v>
      </x:c>
      <x:c r="I57" s="170" t="str">
        <x:v>Desktop</x:v>
      </x:c>
      <x:c r="J57" s="170" t="str">
        <x:v>src/routes/redirects.tsx; src/test/routeFallback.test.tsx; checkly/browser/desktop-login.spec.ts</x:v>
      </x:c>
      <x:c r="K57" s="170" t="str">
        <x:v>13cdcac; PR #89</x:v>
      </x:c>
      <x:c r="L57" s="170" t="str">
        <x:v>Run full unit/build, release gate, and cloud catalog proof.</x:v>
      </x:c>
      <x:c r="M57" s="170" t="str">
        <x:v>Done</x:v>
      </x:c>
      <x:c r="N57" s="170" t="str">
        <x:v>Delayed users now see that work is safe and can explicitly reload instead of assuming PestFlow is dead.</x:v>
      </x:c>
    </x:row>
    <x:row r="58" ht="92" customHeight="1">
      <x:c r="A58" s="170" t="str">
        <x:v>AL-053</x:v>
      </x:c>
      <x:c r="B58" s="171" t="n">
        <x:v>46215.782638888886</x:v>
      </x:c>
      <x:c r="C58" s="170" t="str">
        <x:v>T-014</x:v>
      </x:c>
      <x:c r="D58" s="170" t="str">
        <x:v>Verify route recovery implementation</x:v>
      </x:c>
      <x:c r="E58" s="170" t="str">
        <x:v>Ran the complete unit suite and production build, pushed the recovery commit, then verified the full cloud catalog and exact-head release gate.</x:v>
      </x:c>
      <x:c r="F58" s="170" t="str">
        <x:v>Vitest + Vite + Checkly + GitHub Actions</x:v>
      </x:c>
      <x:c r="G58" s="170" t="str">
        <x:v>Implementation checkpoint green</x:v>
      </x:c>
      <x:c r="H58" s="170" t="str">
        <x:v>746/746 tests across 68 files passed; 5,698-module production build passed; catalog 29204340672 passed 8/8; gate 29204332070 passed in 1m7s.</x:v>
      </x:c>
      <x:c r="I58" s="170" t="str">
        <x:v>Desktop + mobile</x:v>
      </x:c>
      <x:c r="J58" s="170" t="str">
        <x:v>https://github.com/gicheru214/pestflow-checkout-rebuild/actions/runs/29204340672</x:v>
      </x:c>
      <x:c r="K58" s="170" t="str">
        <x:v>13cdcac; PR #89</x:v>
      </x:c>
      <x:c r="L58" s="170" t="str">
        <x:v>Expose successful timing logs in GitHub even when artifact quota is unavailable.</x:v>
      </x:c>
      <x:c r="M58" s="170" t="str">
        <x:v>Done</x:v>
      </x:c>
      <x:c r="N58" s="170" t="str">
        <x:v>Build warnings remain tracked separately; no new test, type, lint, or bundle failure was introduced.</x:v>
      </x:c>
    </x:row>
    <x:row r="59" ht="92" customHeight="1">
      <x:c r="A59" s="170" t="str">
        <x:v>AL-054</x:v>
      </x:c>
      <x:c r="B59" s="171" t="n">
        <x:v>46215.782638888886</x:v>
      </x:c>
      <x:c r="C59" s="170" t="str">
        <x:v>T-014</x:v>
      </x:c>
      <x:c r="D59" s="170" t="str">
        <x:v>Publish exact-head route timing evidence</x:v>
      </x:c>
      <x:c r="E59" s="170" t="str">
        <x:v>Enabled verbose Checkly logs, proved the isolated owner journey, and reran the complete eight-check catalog on the exact final branch head.</x:v>
      </x:c>
      <x:c r="F59" s="170" t="str">
        <x:v>Checkly cloud + GitHub Actions</x:v>
      </x:c>
      <x:c r="G59" s="170" t="str">
        <x:v>8/8 final catalog with visible timings</x:v>
      </x:c>
      <x:c r="H59" s="170" t="str">
        <x:v>Run 29204474751 passed 8/8 in 1m11s. Customers 1.457s, Jobs 2.493s, Invoices 1.477s, Reports 3.155s. Owner run 29204412780 and gate 29204407628 also passed.</x:v>
      </x:c>
      <x:c r="I59" s="170" t="str">
        <x:v>1366×900 + mobile</x:v>
      </x:c>
      <x:c r="J59" s="170" t="str">
        <x:v>https://github.com/gicheru214/pestflow-checkout-rebuild/actions/runs/29204474751</x:v>
      </x:c>
      <x:c r="K59" s="170" t="str">
        <x:v>cfa7a47; PR #89</x:v>
      </x:c>
      <x:c r="L59" s="170" t="str">
        <x:v>Review future scheduled timing evidence; activate candidate and Browserbase gates when external prerequisites exist.</x:v>
      </x:c>
      <x:c r="M59" s="170" t="str">
        <x:v>Done</x:v>
      </x:c>
      <x:c r="N59" s="170" t="str">
        <x:v>The final full run passed on first attempts; no route diagnostic or retry was needed.</x:v>
      </x:c>
    </x:row>
    <x:row r="60" ht="96" customHeight="1">
      <x:c r="A60" s="170" t="str">
        <x:v>AL-055</x:v>
      </x:c>
      <x:c r="B60" s="171" t="n">
        <x:v>46215.80902777778</x:v>
      </x:c>
      <x:c r="C60" s="170" t="str">
        <x:v>T-009</x:v>
      </x:c>
      <x:c r="D60" s="170" t="str">
        <x:v>Modernize QA workflow runtimes</x:v>
      </x:c>
      <x:c r="E60" s="170" t="str">
        <x:v>Upgraded all ten QA workflows to checkout v6, setup-node v6, and upload-artifact v7, then parsed every workflow and ran the PR release gate.</x:v>
      </x:c>
      <x:c r="F60" s="170" t="str">
        <x:v>GitHub Actions</x:v>
      </x:c>
      <x:c r="G60" s="170" t="str">
        <x:v>Node 24-generation actions verified</x:v>
      </x:c>
      <x:c r="H60" s="170" t="str">
        <x:v>Run 29204724354 passed on commit 4c114dc. The Node 20 warning disappeared; only the already nonblocking artifact-quota annotation remained.</x:v>
      </x:c>
      <x:c r="I60" s="170" t="str">
        <x:v>GitHub runner</x:v>
      </x:c>
      <x:c r="J60" s="170" t="str">
        <x:v>https://github.com/gicheru214/pestflow-checkout-rebuild/actions/runs/29204724354</x:v>
      </x:c>
      <x:c r="K60" s="170" t="str">
        <x:v>4c114dc; PR #89</x:v>
      </x:c>
      <x:c r="L60" s="170" t="str">
        <x:v>Continue exact-head browser proof after investigating the Reports-only catalog failure.</x:v>
      </x:c>
      <x:c r="M60" s="170" t="str">
        <x:v>Done</x:v>
      </x:c>
      <x:c r="N60" s="170" t="str">
        <x:v>The action upgrade itself did not create a product failure.</x:v>
      </x:c>
    </x:row>
    <x:row r="61" ht="96" customHeight="1">
      <x:c r="A61" s="170" t="str">
        <x:v>AL-056</x:v>
      </x:c>
      <x:c r="B61" s="171" t="n">
        <x:v>46215.80902777778</x:v>
      </x:c>
      <x:c r="C61" s="170" t="str">
        <x:v>T-014</x:v>
      </x:c>
      <x:c r="D61" s="170" t="str">
        <x:v>Identify the real Reports accessibility failure</x:v>
      </x:c>
      <x:c r="E61" s="170" t="str">
        <x:v>Used persistent route diagnostics across full and isolated Checkly runs to distinguish page performance from an accessibility overlay.</x:v>
      </x:c>
      <x:c r="F61" s="170" t="str">
        <x:v>Checkly cloud + source tracing</x:v>
      </x:c>
      <x:c r="G61" s="170" t="str">
        <x:v>First-run dialog race identified</x:v>
      </x:c>
      <x:c r="H61" s="170" t="str">
        <x:v>Reports, Pro Insights, and setup-goal headings were rendered; no loader was active and same-origin assets were below 400 ms. The modal hid the page heading from the accessibility tree.</x:v>
      </x:c>
      <x:c r="I61" s="170" t="str">
        <x:v>1366×900</x:v>
      </x:c>
      <x:c r="J61" s="170" t="str">
        <x:v>Runs 29204734511, 29204928330, 29205063720, and 29205191769</x:v>
      </x:c>
      <x:c r="K61" s="170" t="str">
        <x:v>1f34d91; PR #89</x:v>
      </x:c>
      <x:c r="L61" s="170" t="str">
        <x:v>Replace one-pass dialog checks with synchronization across the intentional payment-to-setup timer hand-off.</x:v>
      </x:c>
      <x:c r="M61" s="170" t="str">
        <x:v>Done</x:v>
      </x:c>
      <x:c r="N61" s="170" t="str">
        <x:v>This was test synchronization around intentional onboarding, not a slow or blank Reports page.</x:v>
      </x:c>
    </x:row>
    <x:row r="62" ht="96" customHeight="1">
      <x:c r="A62" s="170" t="str">
        <x:v>AL-057</x:v>
      </x:c>
      <x:c r="B62" s="171" t="n">
        <x:v>46215.80902777778</x:v>
      </x:c>
      <x:c r="C62" s="170" t="str">
        <x:v>T-014</x:v>
      </x:c>
      <x:c r="D62" s="170" t="str">
        <x:v>Harden chained onboarding synchronization</x:v>
      </x:c>
      <x:c r="E62" s="170" t="str">
        <x:v>Replaced the one-pass Later/Skip helper with a bounded state machine that closes only the two known dialogs through their normal non-destructive dismiss path and waits for a quiet window.</x:v>
      </x:c>
      <x:c r="F62" s="170" t="str">
        <x:v>Checkly Playwright</x:v>
      </x:c>
      <x:c r="G62" s="170" t="str">
        <x:v>Dialog-settling fix implemented</x:v>
      </x:c>
      <x:c r="H62" s="170" t="str">
        <x:v>Checkly bundle/list and focused ESLint passed. The helper changes only disposable browser local onboarding state and never changes account data.</x:v>
      </x:c>
      <x:c r="I62" s="170" t="str">
        <x:v>1366×900</x:v>
      </x:c>
      <x:c r="J62" s="170" t="str">
        <x:v>checkly/browser/desktop-login.spec.ts</x:v>
      </x:c>
      <x:c r="K62" s="170" t="str">
        <x:v>4f6df89; PR #89</x:v>
      </x:c>
      <x:c r="L62" s="170" t="str">
        <x:v>Rerun the isolated owner proof and complete catalog on the exact commit.</x:v>
      </x:c>
      <x:c r="M62" s="170" t="str">
        <x:v>Done</x:v>
      </x:c>
      <x:c r="N62" s="170" t="str">
        <x:v>The state machine polls through the 220–650 ms chained modal timers instead of racing them.</x:v>
      </x:c>
    </x:row>
    <x:row r="63" ht="96" customHeight="1">
      <x:c r="A63" s="170" t="str">
        <x:v>AL-058</x:v>
      </x:c>
      <x:c r="B63" s="171" t="n">
        <x:v>46215.80902777778</x:v>
      </x:c>
      <x:c r="C63" s="170" t="str">
        <x:v>T-011</x:v>
      </x:c>
      <x:c r="D63" s="170" t="str">
        <x:v>Attempt exact-head cloud confirmation</x:v>
      </x:c>
      <x:c r="E63" s="170" t="str">
        <x:v>Dispatched the isolated Checkly owner workflow for commit 4f6df89 and inspected its GitHub job metadata.</x:v>
      </x:c>
      <x:c r="F63" s="170" t="str">
        <x:v>GitHub Actions</x:v>
      </x:c>
      <x:c r="G63" s="170" t="str">
        <x:v>Runner refused before test start</x:v>
      </x:c>
      <x:c r="H63" s="170" t="str">
        <x:v>Run 29205363968 had zero steps because GitHub reported failed account payments or an exceeded spending limit. No PestFlow or Checkly assertion ran.</x:v>
      </x:c>
      <x:c r="I63" s="170" t="str">
        <x:v>GitHub runner</x:v>
      </x:c>
      <x:c r="J63" s="170" t="str">
        <x:v>https://github.com/gicheru214/pestflow-checkout-rebuild/actions/runs/29205363968</x:v>
      </x:c>
      <x:c r="K63" s="170" t="str">
        <x:v>4f6df89; PR #89</x:v>
      </x:c>
      <x:c r="L63" s="170" t="str">
        <x:v>Restore GitHub Actions billing/spending capacity, then rerun isolated owner and all eight checks at the exact final SHA.</x:v>
      </x:c>
      <x:c r="M63" s="170" t="str">
        <x:v>Blocked</x:v>
      </x:c>
      <x:c r="N63" s="170" t="str">
        <x:v>Classified as github_infrastructure; it is neither a product pass nor a failure.</x:v>
      </x:c>
    </x:row>
    <x:row r="64" ht="96" customHeight="1">
      <x:c r="A64" s="170" t="str">
        <x:v>AL-059</x:v>
      </x:c>
      <x:c r="B64" s="171" t="n">
        <x:v>46215.80902777778</x:v>
      </x:c>
      <x:c r="C64" s="170" t="str">
        <x:v>T-009</x:v>
      </x:c>
      <x:c r="D64" s="170" t="str">
        <x:v>Revalidate product and update review documentation</x:v>
      </x:c>
      <x:c r="E64" s="170" t="str">
        <x:v>Reran the complete unit suite and production build, expanded the two-part PRD with a simple reliability explanation, updated the code guide/runbook, pushed the docs, and refreshed draft PR #89.</x:v>
      </x:c>
      <x:c r="F64" s="170" t="str">
        <x:v>Vitest + Vite + documentation</x:v>
      </x:c>
      <x:c r="G64" s="170" t="str">
        <x:v>Local product checkpoint green</x:v>
      </x:c>
      <x:c r="H64" s="170" t="str">
        <x:v>746/746 tests across 68 files passed and the 5,698-module production build completed. GitHub then also refused the new PR job before any step because of the same billing block.</x:v>
      </x:c>
      <x:c r="I64" s="170" t="str">
        <x:v>Desktop documentation</x:v>
      </x:c>
      <x:c r="J64" s="170" t="str">
        <x:v>docs/reliability-command-center/PRD.md; docs/reliability-command-center/CODEBASE_GUIDE.md</x:v>
      </x:c>
      <x:c r="K64" s="170" t="str">
        <x:v>a5a6167; PR #89</x:v>
      </x:c>
      <x:c r="L64" s="170" t="str">
        <x:v>Keep the PR draft and do not claim final cloud green until runner capacity and Browserbase/deployment prerequisites are restored.</x:v>
      </x:c>
      <x:c r="M64" s="170" t="str">
        <x:v>Done</x:v>
      </x:c>
      <x:c r="N64" s="170" t="str">
        <x:v>Documentation explicitly separates product quality, test synchronization, and unavailable infrastructure.</x:v>
      </x:c>
    </x:row>
    <x:row r="65" ht="100" customHeight="1">
      <x:c r="A65" s="170" t="str">
        <x:v>AL-060</x:v>
      </x:c>
      <x:c r="B65" s="171" t="n">
        <x:v>46215.82638888889</x:v>
      </x:c>
      <x:c r="C65" s="170" t="str">
        <x:v>T-003</x:v>
      </x:c>
      <x:c r="D65" s="170" t="str">
        <x:v>Audit desktop coverage and failure handoff</x:v>
      </x:c>
      <x:c r="E65" s="170" t="str">
        <x:v>Fetched current remote state, compared the Checkly fallback with all Guardian owner journeys, inspected zero-step GitHub failures, and traced repair-branch behavior.</x:v>
      </x:c>
      <x:c r="F65" s="170" t="str">
        <x:v>Git + QA source audit</x:v>
      </x:c>
      <x:c r="G65" s="170" t="str">
        <x:v>Two evidence gaps found</x:v>
      </x:c>
      <x:c r="H65" s="170" t="str">
        <x:v>The fallback covered only five owner surfaces and the classifier did not recognize GitHub's payment/spending refusal text or retain the run summary containing it.</x:v>
      </x:c>
      <x:c r="I65" s="170" t="str">
        <x:v>Desktop</x:v>
      </x:c>
      <x:c r="J65" s="170" t="str">
        <x:v>checkly/browser/desktop-login.spec.ts; scripts/lib/qa-failure-classifier.mjs</x:v>
      </x:c>
      <x:c r="K65" s="170" t="str">
        <x:v>c68009f; PR #89</x:v>
      </x:c>
      <x:c r="L65" s="170" t="str">
        <x:v>Expand the fallback and make zero-step infrastructure refusals non-repairable.</x:v>
      </x:c>
      <x:c r="M65" s="170" t="str">
        <x:v>Done</x:v>
      </x:c>
      <x:c r="N65" s="170" t="str">
        <x:v>Current main still uses the older handoff until this draft PR is reviewed and merged.</x:v>
      </x:c>
    </x:row>
    <x:row r="66" ht="100" customHeight="1">
      <x:c r="A66" s="170" t="str">
        <x:v>AL-061</x:v>
      </x:c>
      <x:c r="B66" s="171" t="n">
        <x:v>46215.82638888889</x:v>
      </x:c>
      <x:c r="C66" s="170" t="str">
        <x:v>T-004</x:v>
      </x:c>
      <x:c r="D66" s="170" t="str">
        <x:v>Classify GitHub billing refusals correctly</x:v>
      </x:c>
      <x:c r="E66" s="170" t="str">
        <x:v>Added exact runner-refusal patterns, captured both upstream logs and run summaries, and added unit plus end-to-end incident tests.</x:v>
      </x:c>
      <x:c r="F66" s="170" t="str">
        <x:v>Incident classifier</x:v>
      </x:c>
      <x:c r="G66" s="170" t="str">
        <x:v>False repair path closed</x:v>
      </x:c>
      <x:c r="H66" s="170" t="str">
        <x:v>16/16 classifier and incident-builder tests passed. Zero-step payment/spending failures become infrastructure warnings with safeToCodex=false.</x:v>
      </x:c>
      <x:c r="I66" s="170" t="str">
        <x:v>N/A</x:v>
      </x:c>
      <x:c r="J66" s="170" t="str">
        <x:v>scripts/qa-failure-classifier.test.mjs; scripts/qa-build-incident.integration.test.mjs</x:v>
      </x:c>
      <x:c r="K66" s="170" t="str">
        <x:v>c68009f; PR #89</x:v>
      </x:c>
      <x:c r="L66" s="170" t="str">
        <x:v>Merge before expecting the default-branch handoff to use the new classifier.</x:v>
      </x:c>
      <x:c r="M66" s="170" t="str">
        <x:v>Done</x:v>
      </x:c>
      <x:c r="N66" s="170" t="str">
        <x:v>Real product assertions still win when product and infrastructure evidence coexist.</x:v>
      </x:c>
    </x:row>
    <x:row r="67" ht="100" customHeight="1">
      <x:c r="A67" s="170" t="str">
        <x:v>AL-062</x:v>
      </x:c>
      <x:c r="B67" s="171" t="n">
        <x:v>46215.82638888889</x:v>
      </x:c>
      <x:c r="C67" s="170" t="str">
        <x:v>T-014</x:v>
      </x:c>
      <x:c r="D67" s="170" t="str">
        <x:v>Expand authenticated desktop route certification</x:v>
      </x:c>
      <x:c r="E67" s="170" t="str">
        <x:v>Expanded the read-only Checkly owner sweep from the core five surfaces to all 26 static owner Guardian paths and added policy-enforced registry parity.</x:v>
      </x:c>
      <x:c r="F67" s="170" t="str">
        <x:v>Checkly + Guardian policy</x:v>
      </x:c>
      <x:c r="G67" s="170" t="str">
        <x:v>Complete static owner route parity</x:v>
      </x:c>
      <x:c r="H67" s="170" t="str">
        <x:v>42/42 Guardian policy tests passed. Every current static owner route is in the fallback; first-party network errors are deduplicated and tagged with the active page path.</x:v>
      </x:c>
      <x:c r="I67" s="170" t="str">
        <x:v>1366×900</x:v>
      </x:c>
      <x:c r="J67" s="170" t="str">
        <x:v>checkly/browser/desktop-login.spec.ts; scripts/qa-guardian-policy.test.mjs</x:v>
      </x:c>
      <x:c r="K67" s="170" t="str">
        <x:v>c68009f; PR #89</x:v>
      </x:c>
      <x:c r="L67" s="170" t="str">
        <x:v>Run exact-head cloud proof when GitHub runner capacity returns.</x:v>
      </x:c>
      <x:c r="M67" s="170" t="str">
        <x:v>Done</x:v>
      </x:c>
      <x:c r="N67" s="170" t="str">
        <x:v>The check remains read-only and never executes create, send, payment, or destructive actions.</x:v>
      </x:c>
    </x:row>
    <x:row r="68" ht="100" customHeight="1">
      <x:c r="A68" s="170" t="str">
        <x:v>AL-063</x:v>
      </x:c>
      <x:c r="B68" s="171" t="n">
        <x:v>46215.82638888889</x:v>
      </x:c>
      <x:c r="C68" s="170" t="str">
        <x:v>T-014</x:v>
      </x:c>
      <x:c r="D68" s="170" t="str">
        <x:v>Verify Services accessibility and chained onboarding</x:v>
      </x:c>
      <x:c r="E68" s="170" t="str">
        <x:v>Rendered the branch in the in-app browser, reproduced payment-to-setup modal chaining, dismissed both through normal local-only actions, and verified the Services page after converting its title to h1.</x:v>
      </x:c>
      <x:c r="F68" s="170" t="str">
        <x:v>In-app Browser</x:v>
      </x:c>
      <x:c r="G68" s="170" t="str">
        <x:v>Accessible responsive page verified</x:v>
      </x:c>
      <x:c r="H68" s="170" t="str">
        <x:v>One Services level-one heading, zero dialogs, and zero horizontal overflow at 1440×900, 1280×800, and 1024×768.</x:v>
      </x:c>
      <x:c r="I68" s="170" t="str">
        <x:v>1440×900; 1280×800; 1024×768</x:v>
      </x:c>
      <x:c r="J68" s="170" t="str">
        <x:v>src/features/services/Services.tsx</x:v>
      </x:c>
      <x:c r="K68" s="170" t="str">
        <x:v>c68009f; PR #89</x:v>
      </x:c>
      <x:c r="L68" s="170" t="str">
        <x:v>Retain the heading contract in the authenticated route sweep.</x:v>
      </x:c>
      <x:c r="M68" s="170" t="str">
        <x:v>Done</x:v>
      </x:c>
      <x:c r="N68" s="170" t="str">
        <x:v>The browser skill confirmed rendered behavior rather than relying only on source markup.</x:v>
      </x:c>
    </x:row>
    <x:row r="69" ht="100" customHeight="1">
      <x:c r="A69" s="170" t="str">
        <x:v>AL-064</x:v>
      </x:c>
      <x:c r="B69" s="171" t="n">
        <x:v>46215.82638888889</x:v>
      </x:c>
      <x:c r="C69" s="170" t="str">
        <x:v>T-009</x:v>
      </x:c>
      <x:c r="D69" s="170" t="str">
        <x:v>Run complete local and production desktop evidence</x:v>
      </x:c>
      <x:c r="E69" s="170" t="str">
        <x:v>Ran the full unit suite, Guardian/incident policies, TypeScript, Checkly bundle, production build, and deterministic production desktop workflows.</x:v>
      </x:c>
      <x:c r="F69" s="170" t="str">
        <x:v>Vitest + Node + Vite + Playwright</x:v>
      </x:c>
      <x:c r="G69" s="170" t="str">
        <x:v>Core evidence green</x:v>
      </x:c>
      <x:c r="H69" s="170" t="str">
        <x:v>746/746 unit tests, 42/42 Guardian policy tests, 16/16 incident tests, TypeScript, 5,698-module build, and 8/8 production desktop workflows passed.</x:v>
      </x:c>
      <x:c r="I69" s="170" t="str">
        <x:v>1440×900; 1280×800; 1024×768</x:v>
      </x:c>
      <x:c r="J69" s="170" t="str">
        <x:v>artifacts/desktop-critical/playwright-results.json</x:v>
      </x:c>
      <x:c r="K69" s="170" t="str">
        <x:v>c68009f; PR #89</x:v>
      </x:c>
      <x:c r="L69" s="170" t="str">
        <x:v>Complete delegated exact-branch feature evidence and publish.</x:v>
      </x:c>
      <x:c r="M69" s="170" t="str">
        <x:v>Done</x:v>
      </x:c>
      <x:c r="N69" s="170" t="str">
        <x:v>Provider payment sends remained disabled; the deterministic suite used isolated QA fixtures.</x:v>
      </x:c>
    </x:row>
    <x:row r="70" ht="100" customHeight="1">
      <x:c r="A70" s="170" t="str">
        <x:v>AL-065</x:v>
      </x:c>
      <x:c r="B70" s="171" t="n">
        <x:v>46215.82638888889</x:v>
      </x:c>
      <x:c r="C70" s="170" t="str">
        <x:v>T-009</x:v>
      </x:c>
      <x:c r="D70" s="170" t="str">
        <x:v>Eliminate cross-worktree local browser evidence</x:v>
      </x:c>
      <x:c r="E70" s="170" t="str">
        <x:v>Stopped an invalid two-failure run after proving port 5173 belonged to pestflow-growth-kit, moved local QA to a dedicated strict port, required explicit reuse opt-in, and reran the exact branch.</x:v>
      </x:c>
      <x:c r="F70" s="170" t="str">
        <x:v>Playwright + process inspection</x:v>
      </x:c>
      <x:c r="G70" s="170" t="str">
        <x:v>Wrong-server false evidence prevented</x:v>
      </x:c>
      <x:c r="H70" s="170" t="str">
        <x:v>The invalid run had 2 unexpected and 191 skipped. The exact c680 branch then passed all 193 delegated desktop behaviors in 3.8 minutes; a focused default-port proof also passed while the foreign server remained active.</x:v>
      </x:c>
      <x:c r="I70" s="170" t="str">
        <x:v>Desktop Chrome</x:v>
      </x:c>
      <x:c r="J70" s="170" t="str">
        <x:v>playwright.staging-features.config.ts; artifacts/staging-features/playwright-results.json</x:v>
      </x:c>
      <x:c r="K70" s="170" t="str">
        <x:v>c68009f; PR #89</x:v>
      </x:c>
      <x:c r="L70" s="170" t="str">
        <x:v>Keep strict-port and no-reuse policy enforced by Guardian tests.</x:v>
      </x:c>
      <x:c r="M70" s="170" t="str">
        <x:v>Done</x:v>
      </x:c>
      <x:c r="N70" s="170" t="str">
        <x:v>The two initial failures were environment-invalid, not PestFlow product failures.</x:v>
      </x:c>
    </x:row>
    <x:row r="71" ht="100" customHeight="1">
      <x:c r="A71" s="170" t="str">
        <x:v>AL-066</x:v>
      </x:c>
      <x:c r="B71" s="171" t="n">
        <x:v>46215.82638888889</x:v>
      </x:c>
      <x:c r="C71" s="170" t="str">
        <x:v>T-011</x:v>
      </x:c>
      <x:c r="D71" s="170" t="str">
        <x:v>Publish expanded desktop certification checkpoint</x:v>
      </x:c>
      <x:c r="E71" s="170" t="str">
        <x:v>Committed and pushed c68009f, refreshed draft PR #89, and attempted both the PR gate and isolated exact-head owner proof.</x:v>
      </x:c>
      <x:c r="F71" s="170" t="str">
        <x:v>Git + GitHub Actions</x:v>
      </x:c>
      <x:c r="G71" s="170" t="str">
        <x:v>Branch published; cloud runner still blocked</x:v>
      </x:c>
      <x:c r="H71" s="170" t="str">
        <x:v>Remote and local SHA match. PR gate 29206496145 and owner run 29206513846 each completed with zero steps because GitHub runner capacity remains unavailable.</x:v>
      </x:c>
      <x:c r="I71" s="170" t="str">
        <x:v>GitHub runner</x:v>
      </x:c>
      <x:c r="J71" s="170" t="str">
        <x:v>https://github.com/gicheru214/pestflow-checkout-rebuild/actions/runs/29206513846</x:v>
      </x:c>
      <x:c r="K71" s="170" t="str">
        <x:v>c68009f; PR #89</x:v>
      </x:c>
      <x:c r="L71" s="170" t="str">
        <x:v>Restore GitHub Actions billing/spending capacity, then rerun owner and full catalog at c68009f or the later final head.</x:v>
      </x:c>
      <x:c r="M71" s="170" t="str">
        <x:v>Blocked</x:v>
      </x:c>
      <x:c r="N71" s="170" t="str">
        <x:v>PR remains draft, mergeable, and correctly unstable; no cloud green is claimed.</x:v>
      </x:c>
    </x:row>
    <x:row r="72" ht="104" customHeight="1">
      <x:c r="A72" s="170" t="str">
        <x:v>AL-067</x:v>
      </x:c>
      <x:c r="B72" s="171" t="n">
        <x:v>46215.847916666666</x:v>
      </x:c>
      <x:c r="C72" s="170" t="str">
        <x:v>T-009</x:v>
      </x:c>
      <x:c r="D72" s="170" t="str">
        <x:v>Audit deterministic QA fixture lifecycle</x:v>
      </x:c>
      <x:c r="E72" s="170" t="str">
        <x:v>Traced production desktop signup, onboarding, invite, email, account deletion, company cascade, and teardown behavior end to end.</x:v>
      </x:c>
      <x:c r="F72" s="170" t="str">
        <x:v>Source + Better Auth audit</x:v>
      </x:c>
      <x:c r="G72" s="170" t="str">
        <x:v>Persistent-fixture risk confirmed</x:v>
      </x:c>
      <x:c r="H72" s="170" t="str">
        <x:v>The suite created two owners and three invited users per run but only disposed clients; signup welcome email also lacked a reserved-domain suppression boundary.</x:v>
      </x:c>
      <x:c r="I72" s="170" t="str">
        <x:v>Production desktop</x:v>
      </x:c>
      <x:c r="J72" s="170" t="str">
        <x:v>e2e/desktop-critical-workflows.spec.ts; server/lib/accountDeletion.ts</x:v>
      </x:c>
      <x:c r="K72" s="170" t="str">
        <x:v>db133da; PR #89</x:v>
      </x:c>
      <x:c r="L72" s="170" t="str">
        <x:v>Add narrow identity, communication, deletion, and teardown guarantees.</x:v>
      </x:c>
      <x:c r="M72" s="170" t="str">
        <x:v>Done</x:v>
      </x:c>
      <x:c r="N72" s="170" t="str">
        <x:v>Owned-company deletion was also best-effort, which could allow auth deletion after a failed business-data cascade.</x:v>
      </x:c>
    </x:row>
    <x:row r="73" ht="104" customHeight="1">
      <x:c r="A73" s="170" t="str">
        <x:v>AL-068</x:v>
      </x:c>
      <x:c r="B73" s="171" t="n">
        <x:v>46215.847916666666</x:v>
      </x:c>
      <x:c r="C73" s="170" t="str">
        <x:v>T-009</x:v>
      </x:c>
      <x:c r="D73" s="170" t="str">
        <x:v>Implement fail-closed fixture safeguards</x:v>
      </x:c>
      <x:c r="E73" s="170" t="str">
        <x:v>Added exact QA identity recognition, reserved-domain signup-email suppression, strict owned-company cascade, immediate signup registration, reverse cleanup, and password-free evidence.</x:v>
      </x:c>
      <x:c r="F73" s="170" t="str">
        <x:v>Vitest + Playwright policy</x:v>
      </x:c>
      <x:c r="G73" s="170" t="str">
        <x:v>Lifecycle implemented</x:v>
      </x:c>
      <x:c r="H73" s="170" t="str">
        <x:v>15 focused unit tests and 43/43 Guardian policy tests passed; destructive cleanup refuses every non-prefixed/non-E2E identity.</x:v>
      </x:c>
      <x:c r="I73" s="170" t="str">
        <x:v>Production desktop</x:v>
      </x:c>
      <x:c r="J73" s="170" t="str">
        <x:v>server/lib/qaIdentity.ts; artifacts/desktop-critical/fixture-cleanup.json</x:v>
      </x:c>
      <x:c r="K73" s="170" t="str">
        <x:v>db133da; PR #89</x:v>
      </x:c>
      <x:c r="L73" s="170" t="str">
        <x:v>Exercise the complete lifecycle against production and preserve any fail-closed result.</x:v>
      </x:c>
      <x:c r="M73" s="170" t="str">
        <x:v>Done</x:v>
      </x:c>
      <x:c r="N73" s="170" t="str">
        <x:v>Real payment sends remained off; invoice notification email remained skipped.</x:v>
      </x:c>
    </x:row>
    <x:row r="74" ht="104" customHeight="1">
      <x:c r="A74" s="170" t="str">
        <x:v>AL-069</x:v>
      </x:c>
      <x:c r="B74" s="171" t="n">
        <x:v>46215.847916666666</x:v>
      </x:c>
      <x:c r="C74" s="170" t="str">
        <x:v>T-009</x:v>
      </x:c>
      <x:c r="D74" s="170" t="str">
        <x:v>Run first fail-closed production cleanup proof</x:v>
      </x:c>
      <x:c r="E74" s="170" t="str">
        <x:v>Ran all desktop workflows, then required account deletion, null-session, and rejected-sign-in evidence for every new fixture.</x:v>
      </x:c>
      <x:c r="F74" s="170" t="str">
        <x:v>Production Playwright</x:v>
      </x:c>
      <x:c r="G74" s="170" t="str">
        <x:v>Product passed; teardown correctly failed</x:v>
      </x:c>
      <x:c r="H74" s="170" t="str">
        <x:v>Seven substantive workflows passed. Teardown confirmed 2/5 completely, found one intentionally logged-out role session, and treated two HTTP 429 login checks as unproven.</x:v>
      </x:c>
      <x:c r="I74" s="170" t="str">
        <x:v>1440×900; 1280×800; 1024×768</x:v>
      </x:c>
      <x:c r="J74" s="170" t="str">
        <x:v>artifacts/desktop-critical/fixture-cleanup.json</x:v>
      </x:c>
      <x:c r="K74" s="170" t="str">
        <x:v>db133da; PR #89</x:v>
      </x:c>
      <x:c r="L74" s="170" t="str">
        <x:v>Restore invalidated QA sessions and retry bounded authentication throttles.</x:v>
      </x:c>
      <x:c r="M74" s="170" t="str">
        <x:v>Done</x:v>
      </x:c>
      <x:c r="N74" s="170" t="str">
        <x:v>The suite stayed red instead of converting partial cleanup evidence into a pass.</x:v>
      </x:c>
    </x:row>
    <x:row r="75" ht="104" customHeight="1">
      <x:c r="A75" s="170" t="str">
        <x:v>AL-070</x:v>
      </x:c>
      <x:c r="B75" s="171" t="n">
        <x:v>46215.847916666666</x:v>
      </x:c>
      <x:c r="C75" s="170" t="str">
        <x:v>T-009</x:v>
      </x:c>
      <x:c r="D75" s="170" t="str">
        <x:v>Verify corrected production fixture lifecycle</x:v>
      </x:c>
      <x:c r="E75" s="170" t="str">
        <x:v>Re-authenticated invalidated QA sessions, retried rate-limited deletion verification, preserved partial evidence accurately, and reran a fresh production cycle.</x:v>
      </x:c>
      <x:c r="F75" s="170" t="str">
        <x:v>Production Playwright</x:v>
      </x:c>
      <x:c r="G75" s="170" t="str">
        <x:v>Complete workflow and cleanup proof passed</x:v>
      </x:c>
      <x:c r="H75" s="170" t="str">
        <x:v>8/8 desktop scenarios passed in 4.1m; 5/5 accounts deleted, 5/5 sessions cleared, and 5/5 credential attempts rejected.</x:v>
      </x:c>
      <x:c r="I75" s="170" t="str">
        <x:v>1440×900; 1280×800; 1024×768</x:v>
      </x:c>
      <x:c r="J75" s="170" t="str">
        <x:v>artifacts/desktop-critical/fixture-cleanup.json</x:v>
      </x:c>
      <x:c r="K75" s="170" t="str">
        <x:v>db133da; PR #89</x:v>
      </x:c>
      <x:c r="L75" s="170" t="str">
        <x:v>Keep historical fixtures separate from newly proven self-cleaning runs.</x:v>
      </x:c>
      <x:c r="M75" s="170" t="str">
        <x:v>Done</x:v>
      </x:c>
      <x:c r="N75" s="170" t="str">
        <x:v>The cleanup artifact contains IDs and boolean outcomes only, with no passwords or session cookies.</x:v>
      </x:c>
    </x:row>
    <x:row r="76" ht="104" customHeight="1">
      <x:c r="A76" s="170" t="str">
        <x:v>AL-071</x:v>
      </x:c>
      <x:c r="B76" s="171" t="n">
        <x:v>46215.847916666666</x:v>
      </x:c>
      <x:c r="C76" s="170" t="str">
        <x:v>T-009</x:v>
      </x:c>
      <x:c r="D76" s="170" t="str">
        <x:v>Run complete regression and document lifecycle</x:v>
      </x:c>
      <x:c r="E76" s="170" t="str">
        <x:v>Ran the full suite/build and updated the two-part PRD, codebase guide, runbook, blast-radius map, and PR description with fixture behavior and limits.</x:v>
      </x:c>
      <x:c r="F76" s="170" t="str">
        <x:v>Vitest + Node + Vite + docs</x:v>
      </x:c>
      <x:c r="G76" s="170" t="str">
        <x:v>Regression and documentation green</x:v>
      </x:c>
      <x:c r="H76" s="170" t="str">
        <x:v>753/753 unit, 43/43 Guardian policy, 16/16 incident, TypeScript, focused lint, and the 5,698-module production build passed.</x:v>
      </x:c>
      <x:c r="I76" s="170" t="str">
        <x:v>Desktop</x:v>
      </x:c>
      <x:c r="J76" s="170" t="str">
        <x:v>docs/reliability-command-center/PRD.md; CODEBASE_GUIDE.md</x:v>
      </x:c>
      <x:c r="K76" s="170" t="str">
        <x:v>db133da; PR #89</x:v>
      </x:c>
      <x:c r="L76" s="170" t="str">
        <x:v>Publish exact-head cloud evidence when GitHub runner access returns.</x:v>
      </x:c>
      <x:c r="M76" s="170" t="str">
        <x:v>Done</x:v>
      </x:c>
      <x:c r="N76" s="170" t="str">
        <x:v>The PRD explains the product generally; the code guide maps the implementing folders and files.</x:v>
      </x:c>
    </x:row>
    <x:row r="77" ht="104" customHeight="1">
      <x:c r="A77" s="170" t="str">
        <x:v>AL-072</x:v>
      </x:c>
      <x:c r="B77" s="171" t="n">
        <x:v>46215.847916666666</x:v>
      </x:c>
      <x:c r="C77" s="170" t="str">
        <x:v>T-011</x:v>
      </x:c>
      <x:c r="D77" s="170" t="str">
        <x:v>Publish fixture-lifecycle checkpoint</x:v>
      </x:c>
      <x:c r="E77" s="170" t="str">
        <x:v>Committed and pushed db133da, refreshed draft PR #89, and attempted both the PR release gate and isolated 26-route owner proof at the exact head.</x:v>
      </x:c>
      <x:c r="F77" s="170" t="str">
        <x:v>Git + GitHub Actions</x:v>
      </x:c>
      <x:c r="G77" s="170" t="str">
        <x:v>Branch published; cloud execution blocked</x:v>
      </x:c>
      <x:c r="H77" s="170" t="str">
        <x:v>PR gate 29207515135 and owner run 29207536485 each completed with zero steps and GitHub's payment/spending-limit annotation.</x:v>
      </x:c>
      <x:c r="I77" s="170" t="str">
        <x:v>GitHub runner</x:v>
      </x:c>
      <x:c r="J77" s="170" t="str">
        <x:v>https://github.com/gicheru214/pestflow-checkout-rebuild/actions/runs/29207536485</x:v>
      </x:c>
      <x:c r="K77" s="170" t="str">
        <x:v>db133da; PR #89</x:v>
      </x:c>
      <x:c r="L77" s="170" t="str">
        <x:v>Restore GitHub Actions billing/spending capacity and rerun both at the exact head.</x:v>
      </x:c>
      <x:c r="M77" s="170" t="str">
        <x:v>Blocked</x:v>
      </x:c>
      <x:c r="N77" s="170" t="str">
        <x:v>Draft PR remains mergeable and correctly unstable; no exact-head cloud green is claimed.</x:v>
      </x:c>
    </x:row>
    <x:row r="78" ht="108" customHeight="1">
      <x:c r="A78" s="170" t="str">
        <x:v>AL-073</x:v>
      </x:c>
      <x:c r="B78" s="171" t="n">
        <x:v>46215.854166666664</x:v>
      </x:c>
      <x:c r="C78" s="170" t="str">
        <x:v>T-015</x:v>
      </x:c>
      <x:c r="D78" s="170" t="str">
        <x:v>Inventory historical production QA fixtures</x:v>
      </x:c>
      <x:c r="E78" s="170" t="str">
        <x:v>Added a counts-only command with explicit acknowledgement, database-enforced read-only transaction, statement timeout, aggregate output, and a policy test rejecting SQL write verbs; executed it inside Railway's private production network.</x:v>
      </x:c>
      <x:c r="F78" s="170" t="str">
        <x:v>Railway SSH + Postgres</x:v>
      </x:c>
      <x:c r="G78" s="170" t="str">
        <x:v>Historical scope quantified without mutation</x:v>
      </x:c>
      <x:c r="H78" s="170" t="str">
        <x:v>Found 55 QA users/accounts, 22 owned companies, 66 sessions, and 22 each of customers, jobs, and invoices, plus aggregate dependent-table counts. No values, IDs, credentials, or records were returned.</x:v>
      </x:c>
      <x:c r="I78" s="170" t="str">
        <x:v>Production database</x:v>
      </x:c>
      <x:c r="J78" s="170" t="str">
        <x:v>artifacts/desktop-critical/historical-fixture-inventory.json</x:v>
      </x:c>
      <x:c r="K78" s="170" t="str">
        <x:v>addd1a6; PR #89</x:v>
      </x:c>
      <x:c r="L78" s="170" t="str">
        <x:v>Obtain explicit approval before transactional historical deletion.</x:v>
      </x:c>
      <x:c r="M78" s="170" t="str">
        <x:v>Done</x:v>
      </x:c>
      <x:c r="N78" s="170" t="str">
        <x:v>A local attempt failed on Railway private DNS; the same source then succeeded remotely with readOnly=true.</x:v>
      </x:c>
    </x:row>
    <x:row r="79" ht="108" customHeight="1">
      <x:c r="A79" s="170" t="str">
        <x:v>AL-074</x:v>
      </x:c>
      <x:c r="B79" s="171" t="n">
        <x:v>46215.854166666664</x:v>
      </x:c>
      <x:c r="C79" s="170" t="str">
        <x:v>T-011</x:v>
      </x:c>
      <x:c r="D79" s="170" t="str">
        <x:v>Publish read-only inventory checkpoint</x:v>
      </x:c>
      <x:c r="E79" s="170" t="str">
        <x:v>Committed and pushed addd1a6, updated draft PR #89, and attempted the PR release gate plus isolated owner proof on the new exact head.</x:v>
      </x:c>
      <x:c r="F79" s="170" t="str">
        <x:v>Git + GitHub Actions</x:v>
      </x:c>
      <x:c r="G79" s="170" t="str">
        <x:v>Inventory published; cloud still blocked</x:v>
      </x:c>
      <x:c r="H79" s="170" t="str">
        <x:v>44/44 policy, TypeScript, focused lint, and 5,698-module build passed. Runs 29207823858 and 29207830428 each started zero steps because of GitHub billing/spending refusal.</x:v>
      </x:c>
      <x:c r="I79" s="170" t="str">
        <x:v>GitHub runner</x:v>
      </x:c>
      <x:c r="J79" s="170" t="str">
        <x:v>https://github.com/gicheru214/pestflow-checkout-rebuild/actions/runs/29207830428</x:v>
      </x:c>
      <x:c r="K79" s="170" t="str">
        <x:v>addd1a6; PR #89</x:v>
      </x:c>
      <x:c r="L79" s="170" t="str">
        <x:v>Restore Actions capacity, rerun exact-head cloud proof, and separately approve or decline historical deletion.</x:v>
      </x:c>
      <x:c r="M79" s="170" t="str">
        <x:v>Blocked</x:v>
      </x:c>
      <x:c r="N79" s="170" t="str">
        <x:v>The draft PR remains mergeable and unstable; production inventory success is not a cloud browser certification.</x:v>
      </x:c>
    </x:row>
    <x:row r="80" ht="112" customHeight="1">
      <x:c r="A80" s="170" t="str">
        <x:v>AL-075</x:v>
      </x:c>
      <x:c r="B80" s="171" t="n">
        <x:v>46215.90625</x:v>
      </x:c>
      <x:c r="C80" s="170" t="str">
        <x:v>T-007</x:v>
      </x:c>
      <x:c r="D80" s="170" t="str">
        <x:v>Centralize complete owner-route coverage</x:v>
      </x:c>
      <x:c r="E80" s="170" t="str">
        <x:v>Created one 26-route readiness catalog and made both the deterministic production suite and Checkly owner fallback consume it; added policy parity enforcement.</x:v>
      </x:c>
      <x:c r="F80" s="170" t="str">
        <x:v>Playwright + Checkly</x:v>
      </x:c>
      <x:c r="G80" s="170" t="str">
        <x:v>78 deterministic route/width checks defined</x:v>
      </x:c>
      <x:c r="H80" s="170" t="str">
        <x:v>26 owner routes at 1440×900, 1280×800, and 1024×768; failures aggregate so later security, business, and cleanup checks still run.</x:v>
      </x:c>
      <x:c r="I80" s="170" t="str">
        <x:v>Three desktop widths</x:v>
      </x:c>
      <x:c r="J80" s="170" t="str">
        <x:v>qa/guardian/desktop-owner-route-catalog.json</x:v>
      </x:c>
      <x:c r="K80" s="170" t="str">
        <x:v>Pending PestFlow commit; PR #89</x:v>
      </x:c>
      <x:c r="L80" s="170" t="str">
        <x:v>Run the complete live production matrix and classify every failure.</x:v>
      </x:c>
      <x:c r="M80" s="170" t="str">
        <x:v>Done</x:v>
      </x:c>
      <x:c r="N80" s="170" t="str">
        <x:v>The catalog is shared instead of duplicating route lists across two browser systems.</x:v>
      </x:c>
    </x:row>
    <x:row r="81" ht="112" customHeight="1">
      <x:c r="A81" s="170" t="str">
        <x:v>AL-076</x:v>
      </x:c>
      <x:c r="B81" s="171" t="n">
        <x:v>46215.90625</x:v>
      </x:c>
      <x:c r="C81" s="170" t="str">
        <x:v>T-007</x:v>
      </x:c>
      <x:c r="D81" s="170" t="str">
        <x:v>Audit all production owner routes</x:v>
      </x:c>
      <x:c r="E81" s="170" t="str">
        <x:v>Executed the expanded deterministic suite against live PestFlow and preserved the complete route matrix plus the remaining business/security and fixture-cleanup evidence.</x:v>
      </x:c>
      <x:c r="F81" s="170" t="str">
        <x:v>Production Playwright</x:v>
      </x:c>
      <x:c r="G81" s="170" t="str">
        <x:v>69/78 route/width contracts passed</x:v>
      </x:c>
      <x:c r="H81" s="170" t="str">
        <x:v>Services, SMS Contacts, and Common Replies failed at all three widths; Settings also emitted first-party GET /companies/branches 500. All later business/security tests passed and cleanup deleted 5/5 accounts.</x:v>
      </x:c>
      <x:c r="I81" s="170" t="str">
        <x:v>1440×900; 1280×800; 1024×768</x:v>
      </x:c>
      <x:c r="J81" s="170" t="str">
        <x:v>artifacts/desktop-critical/owner-route-matrix.json</x:v>
      </x:c>
      <x:c r="K81" s="170" t="str">
        <x:v>PR #89</x:v>
      </x:c>
      <x:c r="L81" s="170" t="str">
        <x:v>Fix the four customer-visible contracts and prove them on the exact branch.</x:v>
      </x:c>
      <x:c r="M81" s="170" t="str">
        <x:v>Done</x:v>
      </x:c>
      <x:c r="N81" s="170" t="str">
        <x:v>Nine failed combinations were three surfaces repeated across three required widths, not nine unrelated bugs.</x:v>
      </x:c>
    </x:row>
    <x:row r="82" ht="112" customHeight="1">
      <x:c r="A82" s="170" t="str">
        <x:v>AL-077</x:v>
      </x:c>
      <x:c r="B82" s="171" t="n">
        <x:v>46215.90625</x:v>
      </x:c>
      <x:c r="C82" s="170" t="str">
        <x:v>T-016</x:v>
      </x:c>
      <x:c r="D82" s="170" t="str">
        <x:v>Repair production bugs found by the exhaustive audit</x:v>
      </x:c>
      <x:c r="E82" s="170" t="str">
        <x:v>Added missing layout titles for SMS Contacts/Common Replies, a defensive AppLayout/help-center title contract, and company-scoped branch CRUD routes before the dynamic /companies/:id route.</x:v>
      </x:c>
      <x:c r="F82" s="170" t="str">
        <x:v>PestFlow UI + API</x:v>
      </x:c>
      <x:c r="G82" s="170" t="str">
        <x:v>Root causes fixed on branch</x:v>
      </x:c>
      <x:c r="H82" s="170" t="str">
        <x:v>The undefined title caused both error-boundary screens; the missing literal API route interpreted branches as a company UUID and returned 500. Services readiness was already corrected by the branch version.</x:v>
      </x:c>
      <x:c r="I82" s="170" t="str">
        <x:v>Desktop application</x:v>
      </x:c>
      <x:c r="J82" s="170" t="str">
        <x:v>src/components/AppLayout.tsx; server/routes/companies.ts</x:v>
      </x:c>
      <x:c r="K82" s="170" t="str">
        <x:v>Pending PestFlow commit; PR #89</x:v>
      </x:c>
      <x:c r="L82" s="170" t="str">
        <x:v>Run focused rendered and unit regressions, then the complete desktop suite.</x:v>
      </x:c>
      <x:c r="M82" s="170" t="str">
        <x:v>Done</x:v>
      </x:c>
      <x:c r="N82" s="170" t="str">
        <x:v>Production is not claimed fixed until the reviewed commit is deployed and audited 78/78.</x:v>
      </x:c>
    </x:row>
    <x:row r="83" ht="112" customHeight="1">
      <x:c r="A83" s="170" t="str">
        <x:v>AL-078</x:v>
      </x:c>
      <x:c r="B83" s="171" t="n">
        <x:v>46215.90625</x:v>
      </x:c>
      <x:c r="C83" s="170" t="str">
        <x:v>T-016</x:v>
      </x:c>
      <x:c r="D83" s="170" t="str">
        <x:v>Prove repaired surfaces on the exact branch</x:v>
      </x:c>
      <x:c r="E83" s="170" t="str">
        <x:v>Added contract tests for branch route ordering/isolation and layout-title protection, then rendered Services, SMS Contacts, Common Replies, and Settings at all three required widths.</x:v>
      </x:c>
      <x:c r="F83" s="170" t="str">
        <x:v>Vitest + local Playwright</x:v>
      </x:c>
      <x:c r="G83" s="170" t="str">
        <x:v>Focused regression passed</x:v>
      </x:c>
      <x:c r="H83" s="170" t="str">
        <x:v>10/10 focused unit contracts and 15/15 route/width renders passed across Services, SMS Contacts, Common Replies, Settings, and the newer Move-In Assistant.</x:v>
      </x:c>
      <x:c r="I83" s="170" t="str">
        <x:v>1440×900; 1280×800; 1024×768</x:v>
      </x:c>
      <x:c r="J83" s="170" t="str">
        <x:v>src/test/companyBranchesRoute.test.ts; e2e/staging-feature-pages.spec.ts</x:v>
      </x:c>
      <x:c r="K83" s="170" t="str">
        <x:v>b10e176; PR #89</x:v>
      </x:c>
      <x:c r="L83" s="170" t="str">
        <x:v>Run every broad branch gate because AppLayout is shared across the product.</x:v>
      </x:c>
      <x:c r="M83" s="170" t="str">
        <x:v>Done</x:v>
      </x:c>
      <x:c r="N83" s="170" t="str">
        <x:v>The local server used a strict dedicated port, so another worktree could not supply false evidence.</x:v>
      </x:c>
    </x:row>
    <x:row r="84" ht="112" customHeight="1">
      <x:c r="A84" s="170" t="str">
        <x:v>AL-079</x:v>
      </x:c>
      <x:c r="B84" s="171" t="n">
        <x:v>46215.90625</x:v>
      </x:c>
      <x:c r="C84" s="170" t="str">
        <x:v>T-009</x:v>
      </x:c>
      <x:c r="D84" s="170" t="str">
        <x:v>Complete exhaustive branch regression</x:v>
      </x:c>
      <x:c r="E84" s="170" t="str">
        <x:v>Ran the full unit, policy, incident, type, focused lint, build, Checkly bundle, and delegated rendered desktop suites after the shared-layout and API changes.</x:v>
      </x:c>
      <x:c r="F84" s="170" t="str">
        <x:v>Local verification</x:v>
      </x:c>
      <x:c r="G84" s="170" t="str">
        <x:v>All branch gates passed</x:v>
      </x:c>
      <x:c r="H84" s="170" t="str">
        <x:v>769/769 unit, 44/44 policy, 16/16 incident, TypeScript, focused ESLint, production build, Checkly bundle, and an uncontended 194/194 rendered desktop rerun passed.</x:v>
      </x:c>
      <x:c r="I84" s="170" t="str">
        <x:v>Full desktop catalog</x:v>
      </x:c>
      <x:c r="J84" s="170" t="str">
        <x:v>Local command evidence; PR #89</x:v>
      </x:c>
      <x:c r="K84" s="170" t="str">
        <x:v>b10e176; PR #89</x:v>
      </x:c>
      <x:c r="L84" s="170" t="str">
        <x:v>Update PRD, code guide, tracker, commit, push, and retry exact-head cloud gates.</x:v>
      </x:c>
      <x:c r="M84" s="170" t="str">
        <x:v>Done</x:v>
      </x:c>
      <x:c r="N84" s="170" t="str">
        <x:v>Build warnings remain separately tracked; no failing branch regression was hidden or quarantined.</x:v>
      </x:c>
    </x:row>
    <x:row r="85" ht="112" customHeight="1">
      <x:c r="A85" s="170" t="str">
        <x:v>AL-080</x:v>
      </x:c>
      <x:c r="B85" s="171" t="n">
        <x:v>46215.90625</x:v>
      </x:c>
      <x:c r="C85" s="170" t="str">
        <x:v>T-003</x:v>
      </x:c>
      <x:c r="D85" s="170" t="str">
        <x:v>Publish standalone Browser Base QA control plane</x:v>
      </x:c>
      <x:c r="E85" s="170" t="str">
        <x:v>Corrected the repository split by publishing the reusable runner, policies, route registry, outcome oracles, workflows, PRD, code guide, and tracker in Browser-Base-QA; verified collaborator access and active workflows.</x:v>
      </x:c>
      <x:c r="F85" s="170" t="str">
        <x:v>GitHub + standalone Node</x:v>
      </x:c>
      <x:c r="G85" s="170" t="str">
        <x:v>Shared repository is operational</x:v>
      </x:c>
      <x:c r="H85" s="170" t="str">
        <x:v>Browser-Base-QA commits eb251f2, 7284800, and a468b1a are on main; yawbtng has write access and both accounts are CODEOWNERS.</x:v>
      </x:c>
      <x:c r="I85" s="170" t="str">
        <x:v>External PestFlow QA</x:v>
      </x:c>
      <x:c r="J85" s="170" t="str">
        <x:v>https://github.com/gicheru214/Browser-Base-QA</x:v>
      </x:c>
      <x:c r="K85" s="170" t="str">
        <x:v>a468b1a</x:v>
      </x:c>
      <x:c r="L85" s="170" t="str">
        <x:v>Add Browserbase secrets/context and deploy PestFlow commit identity before requiring the external gate.</x:v>
      </x:c>
      <x:c r="M85" s="170" t="str">
        <x:v>Done</x:v>
      </x:c>
      <x:c r="N85" s="170" t="str">
        <x:v>Live public oracles passed DB/schema 2/4 and correctly failed missing deployment.commitSha on current production.</x:v>
      </x:c>
    </x:row>
    <x:row r="86" ht="112" customHeight="1">
      <x:c r="A86" s="170" t="str">
        <x:v>AL-081</x:v>
      </x:c>
      <x:c r="B86" s="171" t="n">
        <x:v>46215.90625</x:v>
      </x:c>
      <x:c r="C86" s="170" t="str">
        <x:v>T-009</x:v>
      </x:c>
      <x:c r="D86" s="170" t="str">
        <x:v>Document audit results and repository boundary</x:v>
      </x:c>
      <x:c r="E86" s="170" t="str">
        <x:v>Updated the PestFlow Guardian guide, two-part PRD, codebase map, tracker, and activation boundary with exact production, branch, and standalone-repository evidence.</x:v>
      </x:c>
      <x:c r="F86" s="170" t="str">
        <x:v>Documentation + Excel</x:v>
      </x:c>
      <x:c r="G86" s="170" t="str">
        <x:v>Review trail current before publish</x:v>
      </x:c>
      <x:c r="H86" s="170" t="str">
        <x:v>All five workbook tabs rendered and inspected with no formula errors. Current catalog is 27 routes/81 width checks; historical live evidence remains 69/78 until deploy and rerun.</x:v>
      </x:c>
      <x:c r="I86" s="170" t="str">
        <x:v>Desktop review</x:v>
      </x:c>
      <x:c r="J86" s="170" t="str">
        <x:v>docs/reliability-command-center; activity workbook</x:v>
      </x:c>
      <x:c r="K86" s="170" t="str">
        <x:v>b10e176; PR #89</x:v>
      </x:c>
      <x:c r="L86" s="170" t="str">
        <x:v>Commit and push the verified PestFlow branch, then record exact cloud state.</x:v>
      </x:c>
      <x:c r="M86" s="170" t="str">
        <x:v>Done</x:v>
      </x:c>
      <x:c r="N86" s="170" t="str">
        <x:v>This prevents the standalone repository, branch result, and live PestFlow state from being confused again.</x:v>
      </x:c>
    </x:row>
    <x:row r="87" ht="116" customHeight="1">
      <x:c r="A87" s="170" t="str">
        <x:v>AL-082</x:v>
      </x:c>
      <x:c r="B87" s="171" t="n">
        <x:v>46215.913194444445</x:v>
      </x:c>
      <x:c r="C87" s="170" t="str">
        <x:v>T-009</x:v>
      </x:c>
      <x:c r="D87" s="170" t="str">
        <x:v>Integrate latest PestFlow main without losing QA fixes</x:v>
      </x:c>
      <x:c r="E87" s="170" t="str">
        <x:v>Fetched seven newer main commits, merged them into the QA branch, combined the AppLayout setup-prompt behavior with the title fallback, and detected the new Move-In Assistant route through the parity contract.</x:v>
      </x:c>
      <x:c r="F87" s="170" t="str">
        <x:v>Git merge + complete local gates</x:v>
      </x:c>
      <x:c r="G87" s="170" t="str">
        <x:v>Current main integrated and coverage expanded</x:v>
      </x:c>
      <x:c r="H87" s="170" t="str">
        <x:v>Catalog grew dynamically from 26 routes/78 checks to 27 routes/81 checks. 769/769 unit, 44/44 policy, 16/16 incident, build, tsc, lint, Checkly bundle, 15/15 focused renders, and 194/194 uncontended behaviors passed.</x:v>
      </x:c>
      <x:c r="I87" s="170" t="str">
        <x:v>1440×900; 1280×800; 1024×768</x:v>
      </x:c>
      <x:c r="J87" s="170" t="str">
        <x:v>b10e176; PR #89</x:v>
      </x:c>
      <x:c r="K87" s="170" t="str">
        <x:v>b10e176</x:v>
      </x:c>
      <x:c r="L87" s="170" t="str">
        <x:v>Deploy reviewed head and rerun all 81 production contracts.</x:v>
      </x:c>
      <x:c r="M87" s="170" t="str">
        <x:v>Done</x:v>
      </x:c>
      <x:c r="N87" s="170" t="str">
        <x:v>One parallel local run timed out 1/194 under unit/build contention; exact case passed 1/1 and uncontended complete rerun passed 194/194.</x:v>
      </x:c>
    </x:row>
    <x:row r="88" ht="116" customHeight="1">
      <x:c r="A88" s="170" t="str">
        <x:v>AL-083</x:v>
      </x:c>
      <x:c r="B88" s="171" t="n">
        <x:v>46215.913194444445</x:v>
      </x:c>
      <x:c r="C88" s="170" t="str">
        <x:v>T-011</x:v>
      </x:c>
      <x:c r="D88" s="170" t="str">
        <x:v>Publish and verify exact merged head</x:v>
      </x:c>
      <x:c r="E88" s="170" t="str">
        <x:v>Pushed merge commit b10e176, refreshed draft PR #89, verified it is mergeable, and ran the automatic PR gate plus an isolated owner proof on the exact SHA.</x:v>
      </x:c>
      <x:c r="F88" s="170" t="str">
        <x:v>GitHub + Checkly workflow</x:v>
      </x:c>
      <x:c r="G88" s="170" t="str">
        <x:v>Branch current; cloud proof blocked before execution</x:v>
      </x:c>
      <x:c r="H88" s="170" t="str">
        <x:v>PR gate 29210282667 and owner proof 29210311515 each had zero steps. Check-run annotations explicitly report failed recent payments or exceeded spending limit.</x:v>
      </x:c>
      <x:c r="I88" s="170" t="str">
        <x:v>GitHub runner</x:v>
      </x:c>
      <x:c r="J88" s="170" t="str">
        <x:v>https://github.com/gicheru214/pestflow-checkout-rebuild/actions/runs/29210311515</x:v>
      </x:c>
      <x:c r="K88" s="170" t="str">
        <x:v>b10e176; PR #89</x:v>
      </x:c>
      <x:c r="L88" s="170" t="str">
        <x:v>Restore GitHub Actions capacity, rerun exact-head cloud proof, then deploy and require 81/81 production certification.</x:v>
      </x:c>
      <x:c r="M88" s="170" t="str">
        <x:v>Blocked</x:v>
      </x:c>
      <x:c r="N88" s="170" t="str">
        <x:v>PR is mergeable/unstable. Billing is infrastructure evidence, not a PestFlow product verdict.</x:v>
      </x:c>
    </x:row>
    <x:row r="89" ht="116" customHeight="1">
      <x:c r="A89" s="170" t="str">
        <x:v>AL-084</x:v>
      </x:c>
      <x:c r="B89" s="171" t="n">
        <x:v>46215.92916666667</x:v>
      </x:c>
      <x:c r="C89" s="170" t="str">
        <x:v>T-007</x:v>
      </x:c>
      <x:c r="D89" s="170" t="str">
        <x:v>Register the authenticated desktop API surface</x:v>
      </x:c>
      <x:c r="E89" s="170" t="str">
        <x:v>Created one 32-endpoint owner GET registry covering the data behind customers, jobs, invoices, documents, services, equipment, chemicals, messaging, notifications, chat, estimates, migration, reviews, and reports.</x:v>
      </x:c>
      <x:c r="F89" s="170" t="str">
        <x:v>Playwright API + policy</x:v>
      </x:c>
      <x:c r="G89" s="170" t="str">
        <x:v>Complete API contract sweep implemented</x:v>
      </x:c>
      <x:c r="H89" s="170" t="str">
        <x:v>Every contract requires HTTP 200, JSON, named keys, and declared array shapes. Evidence retains status/schema/timing only and attempts all rows before aggregate failure.</x:v>
      </x:c>
      <x:c r="I89" s="170" t="str">
        <x:v>Authenticated desktop owner</x:v>
      </x:c>
      <x:c r="J89" s="170" t="str">
        <x:v>qa/guardian/desktop-owner-api-contracts.json</x:v>
      </x:c>
      <x:c r="K89" s="170" t="str">
        <x:v>7a8d746; PR #89</x:v>
      </x:c>
      <x:c r="L89" s="170" t="str">
        <x:v>Deploy the reviewed company-branches repair, then require 32/32 on the deployed SHA.</x:v>
      </x:c>
      <x:c r="M89" s="170" t="str">
        <x:v>Done</x:v>
      </x:c>
      <x:c r="N89" s="170" t="str">
        <x:v>A synthetic-tenant lifecycle also covers branch creation, one-primary enforcement, tenant denial, promotion, and deactivation.</x:v>
      </x:c>
    </x:row>
    <x:row r="90" ht="116" customHeight="1">
      <x:c r="A90" s="170" t="str">
        <x:v>AL-085</x:v>
      </x:c>
      <x:c r="B90" s="171" t="n">
        <x:v>46215.92916666667</x:v>
      </x:c>
      <x:c r="C90" s="170" t="str">
        <x:v>T-007</x:v>
      </x:c>
      <x:c r="D90" s="170" t="str">
        <x:v>Audit all registered owner APIs in production</x:v>
      </x:c>
      <x:c r="E90" s="170" t="str">
        <x:v>Ran the new complete contract sweep with five disposable accounts against the real PestFlow API and retained body-free evidence plus teardown proof.</x:v>
      </x:c>
      <x:c r="F90" s="170" t="str">
        <x:v>Production Playwright API</x:v>
      </x:c>
      <x:c r="G90" s="170" t="str">
        <x:v>31/32 passed; known branch endpoint isolated</x:v>
      </x:c>
      <x:c r="H90" s="170" t="str">
        <x:v>Only GET /companies/branches returned 500. All other 31 contracts passed; 5/5 accounts were deleted, sessions cleared, and credentials rejected.</x:v>
      </x:c>
      <x:c r="I90" s="170" t="str">
        <x:v>Production</x:v>
      </x:c>
      <x:c r="J90" s="170" t="str">
        <x:v>artifacts/desktop-critical/owner-api-contracts.json</x:v>
      </x:c>
      <x:c r="K90" s="170" t="str">
        <x:v>7a8d746; PR #89</x:v>
      </x:c>
      <x:c r="L90" s="170" t="str">
        <x:v>Deploy commit 7a8d746 and rerun the same 32 contracts before certification.</x:v>
      </x:c>
      <x:c r="M90" s="170" t="str">
        <x:v>Done</x:v>
      </x:c>
      <x:c r="N90" s="170" t="str">
        <x:v>This confirms the production failure is narrow and already repaired on the branch; production remains deliberately red until deploy.</x:v>
      </x:c>
    </x:row>
    <x:row r="91" ht="116" customHeight="1">
      <x:c r="A91" s="170" t="str">
        <x:v>AL-086</x:v>
      </x:c>
      <x:c r="B91" s="171" t="n">
        <x:v>46215.92916666667</x:v>
      </x:c>
      <x:c r="C91" s="170" t="str">
        <x:v>T-003</x:v>
      </x:c>
      <x:c r="D91" s="170" t="str">
        <x:v>Connect Browser Base QA to PestFlow owner APIs</x:v>
      </x:c>
      <x:c r="E91" s="170" t="str">
        <x:v>Copied the shared contract into Browser-Base-QA and made the recorded authenticated Browserbase owner session execute it once per Guardian run without exporting response bodies.</x:v>
      </x:c>
      <x:c r="F91" s="170" t="str">
        <x:v>Browserbase/Stagehand control plane</x:v>
      </x:c>
      <x:c r="G91" s="170" t="str">
        <x:v>Standalone PestFlow contract integration published</x:v>
      </x:c>
      <x:c r="H91" s="170" t="str">
        <x:v>6/6 standalone tests, 12-entry Guardian dry run, 32-contract validation, and moderate audit threshold passed; only 19 known low Stagehand advisories remain.</x:v>
      </x:c>
      <x:c r="I91" s="170" t="str">
        <x:v>1440/1280/1920/1024 registry</x:v>
      </x:c>
      <x:c r="J91" s="170" t="str">
        <x:v>https://github.com/gicheru214/Browser-Base-QA/commit/37f199c</x:v>
      </x:c>
      <x:c r="K91" s="170" t="str">
        <x:v>37f199c</x:v>
      </x:c>
      <x:c r="L91" s="170" t="str">
        <x:v>Add Browserbase secrets and isolated owner context before the first managed replay run.</x:v>
      </x:c>
      <x:c r="M91" s="170" t="str">
        <x:v>Done</x:v>
      </x:c>
      <x:c r="N91" s="170" t="str">
        <x:v>This makes the shared repository an executing outside-in control plane rather than a passive copy of PestFlow files.</x:v>
      </x:c>
    </x:row>
    <x:row r="92" ht="116" customHeight="1">
      <x:c r="A92" s="170" t="str">
        <x:v>AL-087</x:v>
      </x:c>
      <x:c r="B92" s="171" t="n">
        <x:v>46215.92916666667</x:v>
      </x:c>
      <x:c r="C92" s="170" t="str">
        <x:v>T-011</x:v>
      </x:c>
      <x:c r="D92" s="170" t="str">
        <x:v>Publish and classify the API-contract checkpoint</x:v>
      </x:c>
      <x:c r="E92" s="170" t="str">
        <x:v>Pushed both repositories, refreshed draft PR #89, verified the exact PestFlow head, and inspected the automatically triggered release gate.</x:v>
      </x:c>
      <x:c r="F92" s="170" t="str">
        <x:v>GitHub + GitHub Actions</x:v>
      </x:c>
      <x:c r="G92" s="170" t="str">
        <x:v>Both repos current; cloud gate blocked before execution</x:v>
      </x:c>
      <x:c r="H92" s="170" t="str">
        <x:v>PestFlow head 7a8d746 and Browser-Base-QA head 37f199c are remote. Run 29211160983 had zero steps and the same verified payment/spending-limit annotation.</x:v>
      </x:c>
      <x:c r="I92" s="170" t="str">
        <x:v>GitHub runner</x:v>
      </x:c>
      <x:c r="J92" s="170" t="str">
        <x:v>https://github.com/gicheru214/pestflow-checkout-rebuild/actions/runs/29211160983</x:v>
      </x:c>
      <x:c r="K92" s="170" t="str">
        <x:v>7a8d746; 37f199c; PR #89</x:v>
      </x:c>
      <x:c r="L92" s="170" t="str">
        <x:v>Restore Actions capacity, deploy the reviewed PestFlow head, then require 32/32 API and 81/81 route certification.</x:v>
      </x:c>
      <x:c r="M92" s="170" t="str">
        <x:v>Blocked</x:v>
      </x:c>
      <x:c r="N92" s="170" t="str">
        <x:v>PR #89 remains mergeable/unstable. No cloud or production-green result is claimed for this exact head.</x:v>
      </x:c>
    </x:row>
    <x:row r="93" ht="116" customHeight="1">
      <x:c r="A93" s="170" t="str">
        <x:v>AL-088</x:v>
      </x:c>
      <x:c r="B93" s="171" t="n">
        <x:v>46215.92916666667</x:v>
      </x:c>
      <x:c r="C93" s="170" t="str">
        <x:v>T-009</x:v>
      </x:c>
      <x:c r="D93" s="170" t="str">
        <x:v>Publish the complete PRD in Browser Base QA</x:v>
      </x:c>
      <x:c r="E93" s="170" t="str">
        <x:v>Replaced the standalone repository's short PRD summary with the complete two-part Reliability Command Center PRD from PestFlow after the repository-boundary gap was identified.</x:v>
      </x:c>
      <x:c r="F93" s="170" t="str">
        <x:v>Documentation + GitHub</x:v>
      </x:c>
      <x:c r="G93" s="170" t="str">
        <x:v>Full canonical PRD published</x:v>
      </x:c>
      <x:c r="H93" s="170" t="str">
        <x:v>Both PRD files are 492 lines with identical SHA-1 content; Browser-Base-QA commit 17795cb is pushed on main.</x:v>
      </x:c>
      <x:c r="I93" s="170" t="str">
        <x:v>Documentation</x:v>
      </x:c>
      <x:c r="J93" s="170" t="str">
        <x:v>https://github.com/gicheru214/Browser-Base-QA/blob/main/docs/PRD.md</x:v>
      </x:c>
      <x:c r="K93" s="170" t="str">
        <x:v>17795cb</x:v>
      </x:c>
      <x:c r="L93" s="170" t="str">
        <x:v>Keep the standalone PRD synchronized when product requirements materially change.</x:v>
      </x:c>
      <x:c r="M93" s="170" t="str">
        <x:v>Done</x:v>
      </x:c>
      <x:c r="N93" s="170" t="str">
        <x:v>The shared repository now contains the beginner explanation and the full product, architecture, safety, rollout, evidence, and activation specification.</x:v>
      </x:c>
    </x:row>
    <x:row r="94" ht="116" customHeight="1">
      <x:c r="A94" s="170" t="str">
        <x:v>AL-089</x:v>
      </x:c>
      <x:c r="B94" s="171" t="n">
        <x:v>46215.93541666667</x:v>
      </x:c>
      <x:c r="C94" s="170" t="str">
        <x:v>T-007</x:v>
      </x:c>
      <x:c r="D94" s="170" t="str">
        <x:v>Prove Settings and Inventory resource lifecycles</x:v>
      </x:c>
      <x:c r="E94" s="170" t="str">
        <x:v>Added one synthetic-owner scenario that creates, lists, tenant-isolates, updates, explicitly deletes, and proves absence for equipment, preset notes, and chemical products.</x:v>
      </x:c>
      <x:c r="F94" s="170" t="str">
        <x:v>Production Playwright API</x:v>
      </x:c>
      <x:c r="G94" s="170" t="str">
        <x:v>All three owner resource lifecycles passed</x:v>
      </x:c>
      <x:c r="H94" s="170" t="str">
        <x:v>Focused production run passed 1/1 in 2.4m. Every resource was removed before teardown; unrelated-owner update/delete attempts returned 404.</x:v>
      </x:c>
      <x:c r="I94" s="170" t="str">
        <x:v>Authenticated production owner</x:v>
      </x:c>
      <x:c r="J94" s="170" t="str">
        <x:v>e2e/desktop-critical-workflows.spec.ts</x:v>
      </x:c>
      <x:c r="K94" s="170" t="str">
        <x:v>2aae98e; PR #89</x:v>
      </x:c>
      <x:c r="L94" s="170" t="str">
        <x:v>Extend the same outcome depth to service documents, notifications, messaging, and inventory application logs.</x:v>
      </x:c>
      <x:c r="M94" s="170" t="str">
        <x:v>Done</x:v>
      </x:c>
      <x:c r="N94" s="170" t="str">
        <x:v>No message, payment, provider, or customer-facing action ran; all writes stayed inside reserved synthetic companies.</x:v>
      </x:c>
    </x:row>
    <x:row r="95" ht="116" customHeight="1">
      <x:c r="A95" s="170" t="str">
        <x:v>AL-090</x:v>
      </x:c>
      <x:c r="B95" s="171" t="n">
        <x:v>46215.93541666667</x:v>
      </x:c>
      <x:c r="C95" s="170" t="str">
        <x:v>T-009</x:v>
      </x:c>
      <x:c r="D95" s="170" t="str">
        <x:v>Publish resource lifecycle and synchronized PRD</x:v>
      </x:c>
      <x:c r="E95" s="170" t="str">
        <x:v>Pushed PestFlow lifecycle commit 2aae98e, updated draft PR #89, and synchronized the complete 499-line PRD into Browser-Base-QA main.</x:v>
      </x:c>
      <x:c r="F95" s="170" t="str">
        <x:v>Git + GitHub</x:v>
      </x:c>
      <x:c r="G95" s="170" t="str">
        <x:v>Product test and canonical documentation published</x:v>
      </x:c>
      <x:c r="H95" s="170" t="str">
        <x:v>PestFlow remote head matches 2aae98e. Browser-Base-QA commit 7788b30 has byte-identical PRD content to the PestFlow source.</x:v>
      </x:c>
      <x:c r="I95" s="170" t="str">
        <x:v>Documentation + test code</x:v>
      </x:c>
      <x:c r="J95" s="170" t="str">
        <x:v>https://github.com/gicheru214/Browser-Base-QA/blob/main/docs/PRD.md</x:v>
      </x:c>
      <x:c r="K95" s="170" t="str">
        <x:v>2aae98e; 7788b30; PR #89</x:v>
      </x:c>
      <x:c r="L95" s="170" t="str">
        <x:v>Keep the standalone PRD synchronized as the next outcome layers are added.</x:v>
      </x:c>
      <x:c r="M95" s="170" t="str">
        <x:v>Done</x:v>
      </x:c>
      <x:c r="N95" s="170" t="str">
        <x:v>This directly resolves the earlier repository-boundary mistake instead of letting the full PRD drift back into PestFlow only.</x:v>
      </x:c>
    </x:row>
    <x:row r="96" ht="116" customHeight="1">
      <x:c r="A96" s="170" t="str">
        <x:v>AL-091</x:v>
      </x:c>
      <x:c r="B96" s="171" t="n">
        <x:v>46215.93541666667</x:v>
      </x:c>
      <x:c r="C96" s="170" t="str">
        <x:v>T-011</x:v>
      </x:c>
      <x:c r="D96" s="170" t="str">
        <x:v>Classify exact resource-lifecycle PR gate</x:v>
      </x:c>
      <x:c r="E96" s="170" t="str">
        <x:v>Inspected the automatic PR release gate for exact PestFlow head 2aae98e and verified whether any QA command actually started.</x:v>
      </x:c>
      <x:c r="F96" s="170" t="str">
        <x:v>GitHub Actions</x:v>
      </x:c>
      <x:c r="G96" s="170" t="str">
        <x:v>Cloud gate blocked before execution</x:v>
      </x:c>
      <x:c r="H96" s="170" t="str">
        <x:v>Run 29211489437 had zero steps. Its annotation again reports failed recent payments or an exceeded spending limit.</x:v>
      </x:c>
      <x:c r="I96" s="170" t="str">
        <x:v>GitHub runner</x:v>
      </x:c>
      <x:c r="J96" s="170" t="str">
        <x:v>https://github.com/gicheru214/pestflow-checkout-rebuild/actions/runs/29211489437</x:v>
      </x:c>
      <x:c r="K96" s="170" t="str">
        <x:v>2aae98e; PR #89</x:v>
      </x:c>
      <x:c r="L96" s="170" t="str">
        <x:v>Restore Actions capacity and rerun exact-head gates; do not replace this with a product pass.</x:v>
      </x:c>
      <x:c r="M96" s="170" t="str">
        <x:v>Blocked</x:v>
      </x:c>
      <x:c r="N96" s="170" t="str">
        <x:v>PR remains mergeable/unstable. Local/live focused proof is real; cloud exact-head proof remains unavailable.</x:v>
      </x:c>
    </x:row>
    <x:row r="97" ht="116" customHeight="1">
      <x:c r="A97" s="170" t="str">
        <x:v>AL-092</x:v>
      </x:c>
      <x:c r="B97" s="171" t="n">
        <x:v>46215.94097222222</x:v>
      </x:c>
      <x:c r="C97" s="170" t="str">
        <x:v>T-007</x:v>
      </x:c>
      <x:c r="D97" s="170" t="str">
        <x:v>Prove provider-safe documents and internal communications</x:v>
      </x:c>
      <x:c r="E97" s="170" t="str">
        <x:v>Added one synthetic-owner scenario for an unsigned recipient-free service document, response-template archive, disabled auto-response rule, teammate message read state, tenant isolation, and notification preference restore.</x:v>
      </x:c>
      <x:c r="F97" s="170" t="str">
        <x:v>Production Playwright API</x:v>
      </x:c>
      <x:c r="G97" s="170" t="str">
        <x:v>Provider-safe communications lifecycle passed</x:v>
      </x:c>
      <x:c r="H97" s="170" t="str">
        <x:v>Focused production run passed 1/1 in 2.4m. It used no signatures, recipient addresses, sends, enabled rules, payments, or external provider calls.</x:v>
      </x:c>
      <x:c r="I97" s="170" t="str">
        <x:v>Authenticated production owner</x:v>
      </x:c>
      <x:c r="J97" s="170" t="str">
        <x:v>e2e/desktop-critical-workflows.spec.ts</x:v>
      </x:c>
      <x:c r="K97" s="170" t="str">
        <x:v>7f067f4; PR #89</x:v>
      </x:c>
      <x:c r="L97" s="170" t="str">
        <x:v>Add the next safe outcome layer for chemical applications, job equipment use, and Website Chat tenant state.</x:v>
      </x:c>
      <x:c r="M97" s="170" t="str">
        <x:v>Done</x:v>
      </x:c>
      <x:c r="N97" s="170" t="str">
        <x:v>Response records were archived/deleted, preferences restored, cross-company access denied, and remaining synthetic rows cascaded with account cleanup.</x:v>
      </x:c>
    </x:row>
    <x:row r="98" ht="116" customHeight="1">
      <x:c r="A98" s="170" t="str">
        <x:v>AL-093</x:v>
      </x:c>
      <x:c r="B98" s="171" t="n">
        <x:v>46215.94097222222</x:v>
      </x:c>
      <x:c r="C98" s="170" t="str">
        <x:v>T-009</x:v>
      </x:c>
      <x:c r="D98" s="170" t="str">
        <x:v>Publish communications lifecycle and synchronized PRD</x:v>
      </x:c>
      <x:c r="E98" s="170" t="str">
        <x:v>Pushed PestFlow commit 7f067f4, refreshed PR #89, and synchronized the complete 508-line PRD into Browser-Base-QA.</x:v>
      </x:c>
      <x:c r="F98" s="170" t="str">
        <x:v>Git + GitHub</x:v>
      </x:c>
      <x:c r="G98" s="170" t="str">
        <x:v>Test and canonical PRD published</x:v>
      </x:c>
      <x:c r="H98" s="170" t="str">
        <x:v>PestFlow remote head matches 7f067f4. Browser-Base-QA commit 7e2698f has byte-identical PRD content to PestFlow.</x:v>
      </x:c>
      <x:c r="I98" s="170" t="str">
        <x:v>Documentation + test code</x:v>
      </x:c>
      <x:c r="J98" s="170" t="str">
        <x:v>https://github.com/gicheru214/Browser-Base-QA/blob/main/docs/PRD.md</x:v>
      </x:c>
      <x:c r="K98" s="170" t="str">
        <x:v>7f067f4; 7e2698f; PR #89</x:v>
      </x:c>
      <x:c r="L98" s="170" t="str">
        <x:v>Keep the shared PRD and tracker current through the next outcome layer.</x:v>
      </x:c>
      <x:c r="M98" s="170" t="str">
        <x:v>Done</x:v>
      </x:c>
      <x:c r="N98" s="170" t="str">
        <x:v>The comprehensive PRD remains in the shared repository after this new PestFlow-only regression was added.</x:v>
      </x:c>
    </x:row>
    <x:row r="99" ht="116" customHeight="1">
      <x:c r="A99" s="170" t="str">
        <x:v>AL-094</x:v>
      </x:c>
      <x:c r="B99" s="171" t="n">
        <x:v>46215.94097222222</x:v>
      </x:c>
      <x:c r="C99" s="170" t="str">
        <x:v>T-011</x:v>
      </x:c>
      <x:c r="D99" s="170" t="str">
        <x:v>Classify exact communications-lifecycle PR gate</x:v>
      </x:c>
      <x:c r="E99" s="170" t="str">
        <x:v>Inspected the automatic release gate for exact PestFlow head 7f067f4 and verified whether any command executed.</x:v>
      </x:c>
      <x:c r="F99" s="170" t="str">
        <x:v>GitHub Actions</x:v>
      </x:c>
      <x:c r="G99" s="170" t="str">
        <x:v>Cloud gate blocked before execution</x:v>
      </x:c>
      <x:c r="H99" s="170" t="str">
        <x:v>Run 29211754954 had zero steps and the same failed-payment or spending-limit annotation.</x:v>
      </x:c>
      <x:c r="I99" s="170" t="str">
        <x:v>GitHub runner</x:v>
      </x:c>
      <x:c r="J99" s="170" t="str">
        <x:v>https://github.com/gicheru214/pestflow-checkout-rebuild/actions/runs/29211754954</x:v>
      </x:c>
      <x:c r="K99" s="170" t="str">
        <x:v>7f067f4; PR #89</x:v>
      </x:c>
      <x:c r="L99" s="170" t="str">
        <x:v>Restore Actions capacity and rerun exact-head gates; retain this as infrastructure evidence.</x:v>
      </x:c>
      <x:c r="M99" s="170" t="str">
        <x:v>Blocked</x:v>
      </x:c>
      <x:c r="N99" s="170" t="str">
        <x:v>PR remains mergeable/unstable. Live focused proof passed, but exact-head cloud proof is unavailable.</x:v>
      </x:c>
    </x:row>
    <x:row r="100">
      <x:c r="A100" s="133"/>
      <x:c r="B100" s="165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</x:row>
    <x:row r="101">
      <x:c r="A101" s="133"/>
      <x:c r="B101" s="165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</x:row>
    <x:row r="102">
      <x:c r="A102" s="133"/>
      <x:c r="B102" s="165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</x:row>
    <x:row r="103">
      <x:c r="A103" s="133"/>
      <x:c r="B103" s="165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</x:row>
    <x:row r="104">
      <x:c r="A104" s="133"/>
      <x:c r="B104" s="165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</x:row>
    <x:row r="105">
      <x:c r="A105" s="133"/>
      <x:c r="B105" s="165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</x:row>
    <x:row r="106">
      <x:c r="B106" s="164"/>
    </x:row>
    <x:row r="107">
      <x:c r="B107" s="164"/>
    </x:row>
    <x:row r="108">
      <x:c r="B108" s="164"/>
    </x:row>
    <x:row r="109">
      <x:c r="B109" s="164"/>
    </x:row>
    <x:row r="110">
      <x:c r="B110" s="164"/>
    </x:row>
    <x:row r="111">
      <x:c r="B111" s="164"/>
    </x:row>
    <x:row r="112">
      <x:c r="B112" s="164"/>
    </x:row>
    <x:row r="113">
      <x:c r="B113" s="164"/>
    </x:row>
    <x:row r="114">
      <x:c r="B114" s="164"/>
    </x:row>
    <x:row r="115">
      <x:c r="B115" s="164"/>
    </x:row>
    <x:row r="116">
      <x:c r="B116" s="164"/>
    </x:row>
    <x:row r="117">
      <x:c r="B117" s="164"/>
    </x:row>
    <x:row r="118">
      <x:c r="B118" s="164"/>
    </x:row>
    <x:row r="119">
      <x:c r="B119" s="164"/>
    </x:row>
    <x:row r="120">
      <x:c r="B120" s="164"/>
    </x:row>
    <x:row r="121">
      <x:c r="B121" s="164"/>
    </x:row>
    <x:row r="122">
      <x:c r="B122" s="164"/>
    </x:row>
    <x:row r="123">
      <x:c r="B123" s="164"/>
    </x:row>
    <x:row r="124">
      <x:c r="B124" s="164"/>
    </x:row>
    <x:row r="125">
      <x:c r="B125" s="164"/>
    </x:row>
    <x:row r="126">
      <x:c r="B126" s="164"/>
    </x:row>
    <x:row r="127">
      <x:c r="B127" s="164"/>
    </x:row>
    <x:row r="128">
      <x:c r="B128" s="164"/>
    </x:row>
    <x:row r="129">
      <x:c r="B129" s="164"/>
    </x:row>
    <x:row r="130">
      <x:c r="B130" s="164"/>
    </x:row>
    <x:row r="131">
      <x:c r="B131" s="164"/>
    </x:row>
    <x:row r="132">
      <x:c r="B132" s="164"/>
    </x:row>
    <x:row r="133">
      <x:c r="B133" s="164"/>
    </x:row>
    <x:row r="134">
      <x:c r="B134" s="164"/>
    </x:row>
    <x:row r="135">
      <x:c r="B135" s="164"/>
    </x:row>
    <x:row r="136">
      <x:c r="B136" s="164"/>
    </x:row>
    <x:row r="137">
      <x:c r="B137" s="164"/>
    </x:row>
    <x:row r="138">
      <x:c r="B138" s="164"/>
    </x:row>
    <x:row r="139">
      <x:c r="B139" s="164"/>
    </x:row>
    <x:row r="140">
      <x:c r="B140" s="164"/>
    </x:row>
    <x:row r="141">
      <x:c r="B141" s="164"/>
    </x:row>
    <x:row r="142">
      <x:c r="B142" s="164"/>
    </x:row>
    <x:row r="143">
      <x:c r="B143" s="164"/>
    </x:row>
    <x:row r="144">
      <x:c r="B144" s="164"/>
    </x:row>
    <x:row r="145">
      <x:c r="B145" s="164"/>
    </x:row>
    <x:row r="146">
      <x:c r="B146" s="164"/>
    </x:row>
    <x:row r="147">
      <x:c r="B147" s="164"/>
    </x:row>
    <x:row r="148">
      <x:c r="B148" s="164"/>
    </x:row>
    <x:row r="149">
      <x:c r="B149" s="164"/>
    </x:row>
    <x:row r="150">
      <x:c r="B150" s="164"/>
    </x:row>
    <x:row r="151">
      <x:c r="B151" s="164"/>
    </x:row>
    <x:row r="152">
      <x:c r="B152" s="164"/>
    </x:row>
    <x:row r="153">
      <x:c r="B153" s="164"/>
    </x:row>
    <x:row r="154">
      <x:c r="B154" s="164"/>
    </x:row>
    <x:row r="155">
      <x:c r="B155" s="164"/>
    </x:row>
    <x:row r="156">
      <x:c r="B156" s="164"/>
    </x:row>
    <x:row r="157">
      <x:c r="B157" s="164"/>
    </x:row>
    <x:row r="158">
      <x:c r="B158" s="164"/>
    </x:row>
    <x:row r="159">
      <x:c r="B159" s="164"/>
    </x:row>
    <x:row r="160">
      <x:c r="B160" s="164"/>
    </x:row>
    <x:row r="161">
      <x:c r="B161" s="164"/>
    </x:row>
    <x:row r="162">
      <x:c r="B162" s="164"/>
    </x:row>
    <x:row r="163">
      <x:c r="B163" s="164"/>
    </x:row>
    <x:row r="164">
      <x:c r="B164" s="164"/>
    </x:row>
    <x:row r="165">
      <x:c r="B165" s="164"/>
    </x:row>
    <x:row r="166">
      <x:c r="B166" s="164"/>
    </x:row>
    <x:row r="167">
      <x:c r="B167" s="164"/>
    </x:row>
    <x:row r="168">
      <x:c r="B168" s="164"/>
    </x:row>
    <x:row r="169">
      <x:c r="B169" s="164"/>
    </x:row>
    <x:row r="170">
      <x:c r="B170" s="164"/>
    </x:row>
    <x:row r="171">
      <x:c r="B171" s="164"/>
    </x:row>
    <x:row r="172">
      <x:c r="B172" s="164"/>
    </x:row>
    <x:row r="173">
      <x:c r="B173" s="164"/>
    </x:row>
    <x:row r="174">
      <x:c r="B174" s="164"/>
    </x:row>
    <x:row r="175">
      <x:c r="B175" s="164"/>
    </x:row>
    <x:row r="176">
      <x:c r="B176" s="164"/>
    </x:row>
    <x:row r="177">
      <x:c r="B177" s="164"/>
    </x:row>
    <x:row r="178">
      <x:c r="B178" s="164"/>
    </x:row>
    <x:row r="179">
      <x:c r="B179" s="164"/>
    </x:row>
    <x:row r="180">
      <x:c r="B180" s="164"/>
    </x:row>
    <x:row r="181">
      <x:c r="B181" s="164"/>
    </x:row>
    <x:row r="182">
      <x:c r="B182" s="164"/>
    </x:row>
    <x:row r="183">
      <x:c r="B183" s="164"/>
    </x:row>
    <x:row r="184">
      <x:c r="B184" s="164"/>
    </x:row>
    <x:row r="185">
      <x:c r="B185" s="164"/>
    </x:row>
    <x:row r="186">
      <x:c r="B186" s="164"/>
    </x:row>
    <x:row r="187">
      <x:c r="B187" s="164"/>
    </x:row>
    <x:row r="188">
      <x:c r="B188" s="164"/>
    </x:row>
    <x:row r="189">
      <x:c r="B189" s="164"/>
    </x:row>
    <x:row r="190">
      <x:c r="B190" s="164"/>
    </x:row>
    <x:row r="191">
      <x:c r="B191" s="164"/>
    </x:row>
    <x:row r="192">
      <x:c r="B192" s="164"/>
    </x:row>
    <x:row r="193">
      <x:c r="B193" s="164"/>
    </x:row>
    <x:row r="194">
      <x:c r="B194" s="164"/>
    </x:row>
    <x:row r="195">
      <x:c r="B195" s="164"/>
    </x:row>
    <x:row r="196">
      <x:c r="B196" s="164"/>
    </x:row>
    <x:row r="197">
      <x:c r="B197" s="164"/>
    </x:row>
    <x:row r="198">
      <x:c r="B198" s="164"/>
    </x:row>
    <x:row r="199">
      <x:c r="B199" s="164"/>
    </x:row>
    <x:row r="200">
      <x:c r="B200" s="164"/>
    </x:row>
  </x:sheetData>
  <x:mergeCells>
    <x:mergeCell ref="A1:N1"/>
    <x:mergeCell ref="A2:N2"/>
  </x:mergeCells>
  <x:conditionalFormatting sqref="M6:M105">
    <x:cfRule type="containsText" dxfId="32" priority="1" operator="containsText" text="Done"/>
    <x:cfRule type="containsText" dxfId="33" priority="2" operator="containsText" text="Passed"/>
    <x:cfRule type="containsText" dxfId="34" priority="3" operator="containsText" text="In Progress"/>
    <x:cfRule type="containsText" dxfId="35" priority="4" operator="containsText" text="In Review"/>
    <x:cfRule type="containsText" dxfId="36" priority="5" operator="containsText" text="Blocked"/>
    <x:cfRule type="containsText" dxfId="37" priority="6" operator="containsText" text="Failed"/>
    <x:cfRule type="containsText" dxfId="38" priority="7" operator="containsText" text="Not Started"/>
    <x:cfRule type="containsText" dxfId="39" priority="8" operator="containsText" text="Pending"/>
  </x:conditionalFormatting>
  <x:dataValidations count="2">
    <x:dataValidation type="list" sqref="M6:M105">
      <x:formula1>"Not Started,In Progress,Blocked,In Review,Done"</x:formula1>
    </x:dataValidation>
    <x:dataValidation type="list" sqref="M6:M200">
      <x:formula1>"Not Started,In Progress,Blocked,In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e5746b46114bf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16" hidden="0" customWidth="1"/>
    <x:col min="5" max="5" width="24" hidden="0" customWidth="1"/>
    <x:col min="6" max="6" width="12" hidden="0" customWidth="1"/>
    <x:col min="7" max="7" width="12" hidden="0" customWidth="1"/>
    <x:col min="8" max="8" width="14" hidden="0" customWidth="1"/>
    <x:col min="9" max="9" width="20" hidden="0" customWidth="1"/>
    <x:col min="10" max="10" width="28" hidden="0" customWidth="1"/>
    <x:col min="11" max="11" width="30" hidden="0" customWidth="1"/>
  </x:cols>
  <x:sheetData>
    <x:row r="1" ht="34" customHeight="1">
      <x:c r="A1" s="132" t="str">
        <x:v>QA Matrix</x:v>
      </x:c>
      <x:c r="B1" s="132" t="str">
        <x:v>QA Matrix</x:v>
      </x:c>
      <x:c r="C1" s="132" t="str">
        <x:v>QA Matrix</x:v>
      </x:c>
      <x:c r="D1" s="132" t="str">
        <x:v>QA Matrix</x:v>
      </x:c>
      <x:c r="E1" s="132" t="str">
        <x:v>QA Matrix</x:v>
      </x:c>
      <x:c r="F1" s="132" t="str">
        <x:v>QA Matrix</x:v>
      </x:c>
      <x:c r="G1" s="132" t="str">
        <x:v>QA Matrix</x:v>
      </x:c>
      <x:c r="H1" s="132" t="str">
        <x:v>QA Matrix</x:v>
      </x:c>
      <x:c r="I1" s="132" t="str">
        <x:v>QA Matrix</x:v>
      </x:c>
      <x:c r="J1" s="132" t="str">
        <x:v>QA Matrix</x:v>
      </x:c>
      <x:c r="K1" s="132" t="str">
        <x:v>QA Matrix</x:v>
      </x:c>
    </x:row>
    <x:row r="2" ht="32" customHeight="1">
      <x:c r="A2" s="7" t="str">
        <x:v>Use one row per device, browser, simulator, or viewport check. Tie each result to a Task ID, record evidence, and add rows when a feature needs broader coverage.</x:v>
      </x:c>
      <x:c r="B2" s="7" t="str">
        <x:v>Use one row per device, browser, simulator, or viewport check. Tie each result to a Task ID, record evidence, and add rows when a feature needs broader coverage.</x:v>
      </x:c>
      <x:c r="C2" s="7" t="str">
        <x:v>Use one row per device, browser, simulator, or viewport check. Tie each result to a Task ID, record evidence, and add rows when a feature needs broader coverage.</x:v>
      </x:c>
      <x:c r="D2" s="7" t="str">
        <x:v>Use one row per device, browser, simulator, or viewport check. Tie each result to a Task ID, record evidence, and add rows when a feature needs broader coverage.</x:v>
      </x:c>
      <x:c r="E2" s="7" t="str">
        <x:v>Use one row per device, browser, simulator, or viewport check. Tie each result to a Task ID, record evidence, and add rows when a feature needs broader coverage.</x:v>
      </x:c>
      <x:c r="F2" s="7" t="str">
        <x:v>Use one row per device, browser, simulator, or viewport check. Tie each result to a Task ID, record evidence, and add rows when a feature needs broader coverage.</x:v>
      </x:c>
      <x:c r="G2" s="7" t="str">
        <x:v>Use one row per device, browser, simulator, or viewport check. Tie each result to a Task ID, record evidence, and add rows when a feature needs broader coverage.</x:v>
      </x:c>
      <x:c r="H2" s="7" t="str">
        <x:v>Use one row per device, browser, simulator, or viewport check. Tie each result to a Task ID, record evidence, and add rows when a feature needs broader coverage.</x:v>
      </x:c>
      <x:c r="I2" s="7" t="str">
        <x:v>Use one row per device, browser, simulator, or viewport check. Tie each result to a Task ID, record evidence, and add rows when a feature needs broader coverage.</x:v>
      </x:c>
      <x:c r="J2" s="7" t="str">
        <x:v>Use one row per device, browser, simulator, or viewport check. Tie each result to a Task ID, record evidence, and add rows when a feature needs broader coverage.</x:v>
      </x:c>
      <x:c r="K2" s="7" t="str">
        <x:v>Use one row per device, browser, simulator, or viewport check. Tie each result to a Task ID, record evidence, and add rows when a feature needs broader coverage.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</x:row>
    <x:row r="5" ht="15" hidden="0" customHeight="1">
      <x:c r="A5" s="160" t="str">
        <x:v>QA ID</x:v>
      </x:c>
      <x:c r="B5" s="161" t="str">
        <x:v>Device Class</x:v>
      </x:c>
      <x:c r="C5" s="161" t="str">
        <x:v>Device / Profile</x:v>
      </x:c>
      <x:c r="D5" s="161" t="str">
        <x:v>Viewport</x:v>
      </x:c>
      <x:c r="E5" s="161" t="str">
        <x:v>Browser / Platform</x:v>
      </x:c>
      <x:c r="F5" s="161" t="str">
        <x:v>Required</x:v>
      </x:c>
      <x:c r="G5" s="161" t="str">
        <x:v>Task ID</x:v>
      </x:c>
      <x:c r="H5" s="161" t="str">
        <x:v>Status</x:v>
      </x:c>
      <x:c r="I5" s="161" t="str">
        <x:v>Checked At</x:v>
      </x:c>
      <x:c r="J5" s="161" t="str">
        <x:v>Evidence</x:v>
      </x:c>
      <x:c r="K5" s="162" t="str">
        <x:v>Notes</x:v>
      </x:c>
    </x:row>
    <x:row r="6" ht="15" hidden="0" customHeight="1">
      <x:c r="A6" s="113" t="str">
        <x:v>QA-001</x:v>
      </x:c>
      <x:c r="B6" s="113" t="str">
        <x:v>Desktop</x:v>
      </x:c>
      <x:c r="C6" s="113" t="str">
        <x:v>Standard desktop</x:v>
      </x:c>
      <x:c r="D6" s="113" t="str">
        <x:v>1440 × 900</x:v>
      </x:c>
      <x:c r="E6" s="113" t="str">
        <x:v>Chrome / Playwright + Browser</x:v>
      </x:c>
      <x:c r="F6" s="113" t="str">
        <x:v>Yes</x:v>
      </x:c>
      <x:c r="G6" s="113" t="str">
        <x:v>T-007</x:v>
      </x:c>
      <x:c r="H6" s="113" t="str">
        <x:v>Passed</x:v>
      </x:c>
      <x:c r="I6" s="163" t="n">
        <x:v>46215.27099571759</x:v>
      </x:c>
      <x:c r="J6" s="113" t="str">
        <x:v>8/8 production suite; in-app browser</x:v>
      </x:c>
      <x:c r="K6" s="113" t="str">
        <x:v>Primary desktop production size passed.</x:v>
      </x:c>
    </x:row>
    <x:row r="7" ht="24" hidden="0" customHeight="1">
      <x:c r="A7" s="113" t="str">
        <x:v>QA-002</x:v>
      </x:c>
      <x:c r="B7" s="113" t="str">
        <x:v>Desktop</x:v>
      </x:c>
      <x:c r="C7" s="113" t="str">
        <x:v>Wide desktop</x:v>
      </x:c>
      <x:c r="D7" s="113" t="str">
        <x:v>1920 × 1080</x:v>
      </x:c>
      <x:c r="E7" s="113" t="str">
        <x:v>Browserbase / Stagehand</x:v>
      </x:c>
      <x:c r="F7" s="113" t="str">
        <x:v>Yes</x:v>
      </x:c>
      <x:c r="G7" s="113" t="str">
        <x:v>T-010</x:v>
      </x:c>
      <x:c r="H7" s="113" t="str">
        <x:v>Blocked</x:v>
      </x:c>
      <x:c r="I7" s="163"/>
      <x:c r="J7" s="113" t="str">
        <x:v>Guardian dry-run only</x:v>
      </x:c>
      <x:c r="K7" s="113" t="str">
        <x:v>Live session requires Browserbase secrets and QA owner context.</x:v>
      </x:c>
    </x:row>
    <x:row r="8" ht="24" hidden="0" customHeight="1">
      <x:c r="A8" s="113" t="str">
        <x:v>QA-003</x:v>
      </x:c>
      <x:c r="B8" s="113" t="str">
        <x:v>Laptop</x:v>
      </x:c>
      <x:c r="C8" s="113" t="str">
        <x:v>Standard laptop</x:v>
      </x:c>
      <x:c r="D8" s="113" t="str">
        <x:v>1280 × 800</x:v>
      </x:c>
      <x:c r="E8" s="113" t="str">
        <x:v>Chrome / Playwright + Browser</x:v>
      </x:c>
      <x:c r="F8" s="113" t="str">
        <x:v>Yes</x:v>
      </x:c>
      <x:c r="G8" s="113" t="str">
        <x:v>T-007</x:v>
      </x:c>
      <x:c r="H8" s="113" t="str">
        <x:v>Passed</x:v>
      </x:c>
      <x:c r="I8" s="163" t="n">
        <x:v>46215.27099571759</x:v>
      </x:c>
      <x:c r="J8" s="113" t="str">
        <x:v>Production viewport test; signup visual pass</x:v>
      </x:c>
      <x:c r="K8" s="113" t="str">
        <x:v>No page overflow or clipped controls.</x:v>
      </x:c>
    </x:row>
    <x:row r="9" ht="24" hidden="0" customHeight="1">
      <x:c r="A9" s="113" t="str">
        <x:v>QA-004</x:v>
      </x:c>
      <x:c r="B9" s="113" t="str">
        <x:v>Constrained desktop</x:v>
      </x:c>
      <x:c r="C9" s="113" t="str">
        <x:v>Tablet landscape breakpoint</x:v>
      </x:c>
      <x:c r="D9" s="113" t="str">
        <x:v>1024 × 768</x:v>
      </x:c>
      <x:c r="E9" s="113" t="str">
        <x:v>Chrome / Playwright + Browser</x:v>
      </x:c>
      <x:c r="F9" s="113" t="str">
        <x:v>Yes</x:v>
      </x:c>
      <x:c r="G9" s="113" t="str">
        <x:v>T-007</x:v>
      </x:c>
      <x:c r="H9" s="113" t="str">
        <x:v>Passed</x:v>
      </x:c>
      <x:c r="I9" s="163" t="n">
        <x:v>46215.27099571759</x:v>
      </x:c>
      <x:c r="J9" s="113" t="str">
        <x:v>Production viewport test; login visual pass</x:v>
      </x:c>
      <x:c r="K9" s="113" t="str">
        <x:v>Hydration readiness race measured and handled.</x:v>
      </x:c>
    </x:row>
    <x:row r="10" ht="24" hidden="0" customHeight="1">
      <x:c r="A10" s="113" t="str">
        <x:v>QA-005</x:v>
      </x:c>
      <x:c r="B10" s="113" t="str">
        <x:v>Tablet</x:v>
      </x:c>
      <x:c r="C10" s="113" t="str">
        <x:v>Tablet portrait</x:v>
      </x:c>
      <x:c r="D10" s="113" t="str">
        <x:v>768 × 1024</x:v>
      </x:c>
      <x:c r="E10" s="113" t="str">
        <x:v>Browser or Simulator</x:v>
      </x:c>
      <x:c r="F10" s="113" t="str">
        <x:v>No</x:v>
      </x:c>
      <x:c r="G10" s="113"/>
      <x:c r="H10" s="113" t="str">
        <x:v>Not Needed</x:v>
      </x:c>
      <x:c r="I10" s="163"/>
      <x:c r="J10" s="113"/>
      <x:c r="K10" s="113" t="str">
        <x:v>Desktop-first scope; keep for future mobile/tablet expansion.</x:v>
      </x:c>
    </x:row>
    <x:row r="11" ht="24" hidden="0" customHeight="1">
      <x:c r="A11" s="113" t="str">
        <x:v>QA-006</x:v>
      </x:c>
      <x:c r="B11" s="113" t="str">
        <x:v>Mobile</x:v>
      </x:c>
      <x:c r="C11" s="113" t="str">
        <x:v>Modern mobile</x:v>
      </x:c>
      <x:c r="D11" s="113" t="str">
        <x:v>390 × 844</x:v>
      </x:c>
      <x:c r="E11" s="113" t="str">
        <x:v>Browser or Simulator</x:v>
      </x:c>
      <x:c r="F11" s="113" t="str">
        <x:v>No</x:v>
      </x:c>
      <x:c r="G11" s="113"/>
      <x:c r="H11" s="113" t="str">
        <x:v>Not Needed</x:v>
      </x:c>
      <x:c r="I11" s="163"/>
      <x:c r="J11" s="113"/>
      <x:c r="K11" s="113" t="str">
        <x:v>Not part of this desktop-first Guardian phase.</x:v>
      </x:c>
    </x:row>
    <x:row r="12" ht="24" hidden="0" customHeight="1">
      <x:c r="A12" s="113" t="str">
        <x:v>QA-007</x:v>
      </x:c>
      <x:c r="B12" s="113" t="str">
        <x:v>Mobile</x:v>
      </x:c>
      <x:c r="C12" s="113" t="str">
        <x:v>Small mobile</x:v>
      </x:c>
      <x:c r="D12" s="113" t="str">
        <x:v>360 × 800</x:v>
      </x:c>
      <x:c r="E12" s="113" t="str">
        <x:v>Browser or Simulator</x:v>
      </x:c>
      <x:c r="F12" s="113" t="str">
        <x:v>No</x:v>
      </x:c>
      <x:c r="G12" s="113"/>
      <x:c r="H12" s="113" t="str">
        <x:v>Not Needed</x:v>
      </x:c>
      <x:c r="I12" s="163"/>
      <x:c r="J12" s="113"/>
      <x:c r="K12" s="113" t="str">
        <x:v>Not part of this desktop-first Guardian phase.</x:v>
      </x:c>
    </x:row>
    <x:row r="13" ht="26.399999618530273" hidden="0" customHeight="1">
      <x:c r="A13" s="166" t="str">
        <x:v>QA-008</x:v>
      </x:c>
      <x:c r="B13" s="166" t="str">
        <x:v>Automation</x:v>
      </x:c>
      <x:c r="C13" s="166" t="str">
        <x:v>Guardian policy + selector + verdict</x:v>
      </x:c>
      <x:c r="D13" s="166" t="str">
        <x:v>N/A</x:v>
      </x:c>
      <x:c r="E13" s="166" t="str">
        <x:v>Node test</x:v>
      </x:c>
      <x:c r="F13" s="166" t="str">
        <x:v>Yes</x:v>
      </x:c>
      <x:c r="G13" s="166" t="str">
        <x:v>T-006</x:v>
      </x:c>
      <x:c r="H13" s="166" t="str">
        <x:v>Passed</x:v>
      </x:c>
      <x:c r="I13" s="167" t="n">
        <x:v>46215.27099571759</x:v>
      </x:c>
      <x:c r="J13" s="166" t="str">
        <x:v>17/17 tests</x:v>
      </x:c>
      <x:c r="K13" s="166" t="str">
        <x:v>Registry, route coverage, safety, risk mapping, and evidence policy passed.</x:v>
      </x:c>
    </x:row>
    <x:row r="14" ht="26.399999618530273" hidden="0" customHeight="1">
      <x:c r="A14" s="166" t="str">
        <x:v>QA-009</x:v>
      </x:c>
      <x:c r="B14" s="166" t="str">
        <x:v>Automation</x:v>
      </x:c>
      <x:c r="C14" s="166" t="str">
        <x:v>Incident classifier + builder</x:v>
      </x:c>
      <x:c r="D14" s="166" t="str">
        <x:v>N/A</x:v>
      </x:c>
      <x:c r="E14" s="166" t="str">
        <x:v>Node test</x:v>
      </x:c>
      <x:c r="F14" s="166" t="str">
        <x:v>Yes</x:v>
      </x:c>
      <x:c r="G14" s="166" t="str">
        <x:v>T-004</x:v>
      </x:c>
      <x:c r="H14" s="166" t="str">
        <x:v>Passed</x:v>
      </x:c>
      <x:c r="I14" s="167" t="n">
        <x:v>46215.27099571759</x:v>
      </x:c>
      <x:c r="J14" s="166" t="str">
        <x:v>12/12 tests</x:v>
      </x:c>
      <x:c r="K14" s="166" t="str">
        <x:v>Includes exact artifact-quota false-red simulation.</x:v>
      </x:c>
    </x:row>
    <x:row r="15" ht="26.399999618530273" hidden="0" customHeight="1">
      <x:c r="A15" s="166" t="str">
        <x:v>QA-010</x:v>
      </x:c>
      <x:c r="B15" s="166" t="str">
        <x:v>Production</x:v>
      </x:c>
      <x:c r="C15" s="166" t="str">
        <x:v>Desktop critical integration</x:v>
      </x:c>
      <x:c r="D15" s="166" t="str">
        <x:v>Multi-viewport</x:v>
      </x:c>
      <x:c r="E15" s="166" t="str">
        <x:v>Playwright Chromium</x:v>
      </x:c>
      <x:c r="F15" s="166" t="str">
        <x:v>Yes</x:v>
      </x:c>
      <x:c r="G15" s="166" t="str">
        <x:v>T-007</x:v>
      </x:c>
      <x:c r="H15" s="166" t="str">
        <x:v>Passed</x:v>
      </x:c>
      <x:c r="I15" s="167" t="n">
        <x:v>46215.27099571759</x:v>
      </x:c>
      <x:c r="J15" s="166" t="str">
        <x:v>8/8 scenarios</x:v>
      </x:c>
      <x:c r="K15" s="166" t="str">
        <x:v>Full production suite passed in 1.9 minutes.</x:v>
      </x:c>
    </x:row>
    <x:row r="16" ht="15" hidden="0" customHeight="1">
      <x:c r="A16" s="166" t="str">
        <x:v>QA-011</x:v>
      </x:c>
      <x:c r="B16" s="166" t="str">
        <x:v>Regression</x:v>
      </x:c>
      <x:c r="C16" s="166" t="str">
        <x:v>Complete unit suite</x:v>
      </x:c>
      <x:c r="D16" s="166" t="str">
        <x:v>N/A</x:v>
      </x:c>
      <x:c r="E16" s="166" t="str">
        <x:v>Vitest</x:v>
      </x:c>
      <x:c r="F16" s="166" t="str">
        <x:v>Yes</x:v>
      </x:c>
      <x:c r="G16" s="166" t="str">
        <x:v>T-009</x:v>
      </x:c>
      <x:c r="H16" s="166" t="str">
        <x:v>Passed</x:v>
      </x:c>
      <x:c r="I16" s="167" t="n">
        <x:v>46215.27099571759</x:v>
      </x:c>
      <x:c r="J16" s="166" t="str">
        <x:v>742/742 tests</x:v>
      </x:c>
      <x:c r="K16" s="166" t="str">
        <x:v>66 files passed.</x:v>
      </x:c>
    </x:row>
    <x:row r="17" ht="15" hidden="0" customHeight="1">
      <x:c r="A17" s="166" t="str">
        <x:v>QA-012</x:v>
      </x:c>
      <x:c r="B17" s="166" t="str">
        <x:v>Build</x:v>
      </x:c>
      <x:c r="C17" s="166" t="str">
        <x:v>TypeScript no-emit</x:v>
      </x:c>
      <x:c r="D17" s="166" t="str">
        <x:v>N/A</x:v>
      </x:c>
      <x:c r="E17" s="166" t="str">
        <x:v>tsc</x:v>
      </x:c>
      <x:c r="F17" s="166" t="str">
        <x:v>Yes</x:v>
      </x:c>
      <x:c r="G17" s="166" t="str">
        <x:v>T-009</x:v>
      </x:c>
      <x:c r="H17" s="166" t="str">
        <x:v>Passed</x:v>
      </x:c>
      <x:c r="I17" s="167" t="n">
        <x:v>46215.27099571759</x:v>
      </x:c>
      <x:c r="J17" s="166" t="str">
        <x:v>Exit code 0</x:v>
      </x:c>
      <x:c r="K17" s="166" t="str">
        <x:v>No type errors.</x:v>
      </x:c>
    </x:row>
    <x:row r="18" ht="26.399999618530273" hidden="0" customHeight="1">
      <x:c r="A18" s="166" t="str">
        <x:v>QA-013</x:v>
      </x:c>
      <x:c r="B18" s="166" t="str">
        <x:v>Build</x:v>
      </x:c>
      <x:c r="C18" s="166" t="str">
        <x:v>Production bundle</x:v>
      </x:c>
      <x:c r="D18" s="166" t="str">
        <x:v>N/A</x:v>
      </x:c>
      <x:c r="E18" s="166" t="str">
        <x:v>Vite</x:v>
      </x:c>
      <x:c r="F18" s="166" t="str">
        <x:v>Yes</x:v>
      </x:c>
      <x:c r="G18" s="166" t="str">
        <x:v>T-009</x:v>
      </x:c>
      <x:c r="H18" s="166" t="str">
        <x:v>Passed</x:v>
      </x:c>
      <x:c r="I18" s="167" t="n">
        <x:v>46215.27099571759</x:v>
      </x:c>
      <x:c r="J18" s="166" t="str">
        <x:v>5,698 modules transformed</x:v>
      </x:c>
      <x:c r="K18" s="166" t="str">
        <x:v>Build passed with recorded bundle-size warnings.</x:v>
      </x:c>
    </x:row>
    <x:row r="19" ht="26.399999618530273" hidden="0" customHeight="1">
      <x:c r="A19" s="166" t="str">
        <x:v>QA-014</x:v>
      </x:c>
      <x:c r="B19" s="166" t="str">
        <x:v>Automation</x:v>
      </x:c>
      <x:c r="C19" s="166" t="str">
        <x:v>GitHub workflow syntax</x:v>
      </x:c>
      <x:c r="D19" s="166" t="str">
        <x:v>N/A</x:v>
      </x:c>
      <x:c r="E19" s="166" t="str">
        <x:v>Ruby YAML parser</x:v>
      </x:c>
      <x:c r="F19" s="166" t="str">
        <x:v>Yes</x:v>
      </x:c>
      <x:c r="G19" s="166" t="str">
        <x:v>T-009</x:v>
      </x:c>
      <x:c r="H19" s="166" t="str">
        <x:v>Passed</x:v>
      </x:c>
      <x:c r="I19" s="167" t="n">
        <x:v>46215.27099571759</x:v>
      </x:c>
      <x:c r="J19" s="166" t="str">
        <x:v>10 workflow files parsed</x:v>
      </x:c>
      <x:c r="K19" s="166" t="str">
        <x:v>New scheduled and release workflows included.</x:v>
      </x:c>
    </x:row>
    <x:row r="20" ht="26.399999618530273" hidden="0" customHeight="1">
      <x:c r="A20" s="166" t="str">
        <x:v>QA-015</x:v>
      </x:c>
      <x:c r="B20" s="166" t="str">
        <x:v>Quality</x:v>
      </x:c>
      <x:c r="C20" s="166" t="str">
        <x:v>Changed QA files lint</x:v>
      </x:c>
      <x:c r="D20" s="166" t="str">
        <x:v>N/A</x:v>
      </x:c>
      <x:c r="E20" s="166" t="str">
        <x:v>ESLint</x:v>
      </x:c>
      <x:c r="F20" s="166" t="str">
        <x:v>Yes</x:v>
      </x:c>
      <x:c r="G20" s="166" t="str">
        <x:v>T-009</x:v>
      </x:c>
      <x:c r="H20" s="166" t="str">
        <x:v>Passed</x:v>
      </x:c>
      <x:c r="I20" s="167" t="n">
        <x:v>46215.27099571759</x:v>
      </x:c>
      <x:c r="J20" s="166" t="str">
        <x:v>Focused lint exit 0</x:v>
      </x:c>
      <x:c r="K20" s="166" t="str">
        <x:v>All new and modified QA JavaScript files are clean.</x:v>
      </x:c>
    </x:row>
    <x:row r="21" ht="26.399999618530273" hidden="0" customHeight="1">
      <x:c r="A21" s="166" t="str">
        <x:v>QA-016</x:v>
      </x:c>
      <x:c r="B21" s="166" t="str">
        <x:v>Quality Debt</x:v>
      </x:c>
      <x:c r="C21" s="166" t="str">
        <x:v>Repository-wide lint baseline</x:v>
      </x:c>
      <x:c r="D21" s="166" t="str">
        <x:v>N/A</x:v>
      </x:c>
      <x:c r="E21" s="166" t="str">
        <x:v>ESLint</x:v>
      </x:c>
      <x:c r="F21" s="166" t="str">
        <x:v>No</x:v>
      </x:c>
      <x:c r="G21" s="166" t="str">
        <x:v>T-012</x:v>
      </x:c>
      <x:c r="H21" s="166" t="str">
        <x:v>Failed</x:v>
      </x:c>
      <x:c r="I21" s="167" t="n">
        <x:v>46215.27099571759</x:v>
      </x:c>
      <x:c r="J21" s="166" t="str">
        <x:v>613 errors; 49 warnings</x:v>
      </x:c>
      <x:c r="K21" s="166" t="str">
        <x:v>Pre-existing origin/main debt; does not originate in Guardian files.</x:v>
      </x:c>
    </x:row>
    <x:row r="22" ht="26.399999618530273" hidden="0" customHeight="1">
      <x:c r="A22" s="166" t="str">
        <x:v>QA-017</x:v>
      </x:c>
      <x:c r="B22" s="166" t="str">
        <x:v>Runtime</x:v>
      </x:c>
      <x:c r="C22" s="166" t="str">
        <x:v>Stagehand + Browserbase import smoke</x:v>
      </x:c>
      <x:c r="D22" s="166" t="str">
        <x:v>Node 22</x:v>
      </x:c>
      <x:c r="E22" s="166" t="str">
        <x:v>SDK import</x:v>
      </x:c>
      <x:c r="F22" s="166" t="str">
        <x:v>Yes</x:v>
      </x:c>
      <x:c r="G22" s="166" t="str">
        <x:v>T-003</x:v>
      </x:c>
      <x:c r="H22" s="166" t="str">
        <x:v>Passed</x:v>
      </x:c>
      <x:c r="I22" s="167" t="n">
        <x:v>46215.27099571759</x:v>
      </x:c>
      <x:c r="J22" s="166" t="str">
        <x:v>Both packages loaded</x:v>
      </x:c>
      <x:c r="K22" s="166" t="str">
        <x:v>Installed runtime is resolvable.</x:v>
      </x:c>
    </x:row>
    <x:row r="23" ht="39.599998474121094" hidden="0" customHeight="1">
      <x:c r="A23" s="166" t="str">
        <x:v>QA-018</x:v>
      </x:c>
      <x:c r="B23" s="166" t="str">
        <x:v>CI</x:v>
      </x:c>
      <x:c r="C23" s="166" t="str">
        <x:v>Pull-request release gate</x:v>
      </x:c>
      <x:c r="D23" s="166" t="str">
        <x:v>GitHub runner</x:v>
      </x:c>
      <x:c r="E23" s="166" t="str">
        <x:v>GitHub Actions</x:v>
      </x:c>
      <x:c r="F23" s="166" t="str">
        <x:v>Yes</x:v>
      </x:c>
      <x:c r="G23" s="166" t="str">
        <x:v>T-009</x:v>
      </x:c>
      <x:c r="H23" s="166" t="str">
        <x:v>Passed</x:v>
      </x:c>
      <x:c r="I23" s="167" t="n">
        <x:v>46215.27523634259</x:v>
      </x:c>
      <x:c r="J23" s="166" t="str">
        <x:v>https://github.com/gicheru214/pestflow-checkout-rebuild/actions/runs/29182844822</x:v>
      </x:c>
      <x:c r="K23" s="166" t="str">
        <x:v>Risk selection, Guardian/incident tests, and exact candidate build passed; artifact quota remained non-blocking.</x:v>
      </x:c>
    </x:row>
    <x:row r="24" ht="39.599998474121094" hidden="0" customHeight="1">
      <x:c r="A24" s="166" t="str">
        <x:v>QA-019</x:v>
      </x:c>
      <x:c r="B24" s="166" t="str">
        <x:v>Staging</x:v>
      </x:c>
      <x:c r="C24" s="166" t="str">
        <x:v>Delegated 48-feature catalog</x:v>
      </x:c>
      <x:c r="D24" s="166" t="str">
        <x:v>193 behaviors</x:v>
      </x:c>
      <x:c r="E24" s="166" t="str">
        <x:v>Playwright Chromium</x:v>
      </x:c>
      <x:c r="F24" s="166" t="str">
        <x:v>Yes</x:v>
      </x:c>
      <x:c r="G24" s="166" t="str">
        <x:v>T-008</x:v>
      </x:c>
      <x:c r="H24" s="166" t="str">
        <x:v>Passed</x:v>
      </x:c>
      <x:c r="I24" s="167" t="n">
        <x:v>46215.28418983796</x:v>
      </x:c>
      <x:c r="J24" s="166" t="str">
        <x:v>192-pass sweep + repaired checkpoint pass</x:v>
      </x:c>
      <x:c r="K24" s="166" t="str">
        <x:v>All 193 behaviors passed; stale hard-coded Tools count replaced with stable capability contract.</x:v>
      </x:c>
    </x:row>
    <x:row r="25" ht="39.599998474121094" hidden="0" customHeight="1">
      <x:c r="A25" s="166" t="str">
        <x:v>QA-020</x:v>
      </x:c>
      <x:c r="B25" s="166" t="str">
        <x:v>CI</x:v>
      </x:c>
      <x:c r="C25" s="166" t="str">
        <x:v>Updated pull-request release gate</x:v>
      </x:c>
      <x:c r="D25" s="166" t="str">
        <x:v>GitHub runner</x:v>
      </x:c>
      <x:c r="E25" s="166" t="str">
        <x:v>GitHub Actions</x:v>
      </x:c>
      <x:c r="F25" s="166" t="str">
        <x:v>Yes</x:v>
      </x:c>
      <x:c r="G25" s="166" t="str">
        <x:v>T-009</x:v>
      </x:c>
      <x:c r="H25" s="166" t="str">
        <x:v>Passed</x:v>
      </x:c>
      <x:c r="I25" s="167" t="n">
        <x:v>46215.28418983796</x:v>
      </x:c>
      <x:c r="J25" s="166" t="str">
        <x:v>https://github.com/gicheru214/pestflow-checkout-rebuild/actions/runs/29183173099</x:v>
      </x:c>
      <x:c r="K25" s="166" t="str">
        <x:v>Change-map enumeration, Guardian/incident tests, and candidate build passed.</x:v>
      </x:c>
    </x:row>
    <x:row r="26" ht="48" customHeight="1">
      <x:c r="A26" s="170" t="str">
        <x:v>QA-021</x:v>
      </x:c>
      <x:c r="B26" s="170" t="str">
        <x:v>Automation</x:v>
      </x:c>
      <x:c r="C26" s="170" t="str">
        <x:v>Deployment identity policy</x:v>
      </x:c>
      <x:c r="D26" s="170" t="str">
        <x:v>N/A</x:v>
      </x:c>
      <x:c r="E26" s="170" t="str">
        <x:v>Node test</x:v>
      </x:c>
      <x:c r="F26" s="173" t="str">
        <x:v>Yes</x:v>
      </x:c>
      <x:c r="G26" s="170" t="str">
        <x:v>T-008</x:v>
      </x:c>
      <x:c r="H26" s="170" t="str">
        <x:v>Passed</x:v>
      </x:c>
      <x:c r="I26" s="171" t="n">
        <x:v>46215</x:v>
      </x:c>
      <x:c r="J26" s="170" t="str">
        <x:v>24/24 Guardian policy tests</x:v>
      </x:c>
      <x:c r="K26" s="170" t="str">
        <x:v>Full/abbreviated SHA, stale rollout, success, and timeout are covered.</x:v>
      </x:c>
    </x:row>
    <x:row r="27" ht="48" customHeight="1">
      <x:c r="A27" s="170" t="str">
        <x:v>QA-022</x:v>
      </x:c>
      <x:c r="B27" s="170" t="str">
        <x:v>Automation</x:v>
      </x:c>
      <x:c r="C27" s="170" t="str">
        <x:v>Guardian full-matrix dry-run</x:v>
      </x:c>
      <x:c r="D27" s="170" t="str">
        <x:v>4 desktop sizes</x:v>
      </x:c>
      <x:c r="E27" s="170" t="str">
        <x:v>Stagehand registry</x:v>
      </x:c>
      <x:c r="F27" s="173" t="str">
        <x:v>Yes</x:v>
      </x:c>
      <x:c r="G27" s="170" t="str">
        <x:v>T-003</x:v>
      </x:c>
      <x:c r="H27" s="170" t="str">
        <x:v>Passed</x:v>
      </x:c>
      <x:c r="I27" s="171" t="n">
        <x:v>46215</x:v>
      </x:c>
      <x:c r="J27" s="170" t="str">
        <x:v>12/12 matrix entries validated</x:v>
      </x:c>
      <x:c r="K27" s="170" t="str">
        <x:v>1920, 1440, 1280, and 1024 selected without Browserbase spend.</x:v>
      </x:c>
    </x:row>
    <x:row r="28" ht="48" customHeight="1">
      <x:c r="A28" s="170" t="str">
        <x:v>QA-023</x:v>
      </x:c>
      <x:c r="B28" s="170" t="str">
        <x:v>Quality</x:v>
      </x:c>
      <x:c r="C28" s="170" t="str">
        <x:v>TypeScript and focused lint</x:v>
      </x:c>
      <x:c r="D28" s="170" t="str">
        <x:v>N/A</x:v>
      </x:c>
      <x:c r="E28" s="170" t="str">
        <x:v>tsc + ESLint</x:v>
      </x:c>
      <x:c r="F28" s="173" t="str">
        <x:v>Yes</x:v>
      </x:c>
      <x:c r="G28" s="170" t="str">
        <x:v>T-009</x:v>
      </x:c>
      <x:c r="H28" s="170" t="str">
        <x:v>Passed</x:v>
      </x:c>
      <x:c r="I28" s="171" t="n">
        <x:v>46215</x:v>
      </x:c>
      <x:c r="J28" s="170" t="str">
        <x:v>Both commands exited 0</x:v>
      </x:c>
      <x:c r="K28" s="170" t="str">
        <x:v>All deployment-identity and Guardian files are type- and lint-clean.</x:v>
      </x:c>
    </x:row>
    <x:row r="29" ht="48" customHeight="1">
      <x:c r="A29" s="170" t="str">
        <x:v>QA-024</x:v>
      </x:c>
      <x:c r="B29" s="170" t="str">
        <x:v>CI</x:v>
      </x:c>
      <x:c r="C29" s="170" t="str">
        <x:v>Final documented PR release gate</x:v>
      </x:c>
      <x:c r="D29" s="170" t="str">
        <x:v>GitHub runner</x:v>
      </x:c>
      <x:c r="E29" s="170" t="str">
        <x:v>GitHub Actions</x:v>
      </x:c>
      <x:c r="F29" s="170" t="str">
        <x:v>Yes</x:v>
      </x:c>
      <x:c r="G29" s="170" t="str">
        <x:v>T-009</x:v>
      </x:c>
      <x:c r="H29" s="170" t="str">
        <x:v>Passed</x:v>
      </x:c>
      <x:c r="I29" s="171" t="n">
        <x:v>46215</x:v>
      </x:c>
      <x:c r="J29" s="170" t="str">
        <x:v>Run 29201289406 passed in 1m12s</x:v>
      </x:c>
      <x:c r="K29" s="170" t="str">
        <x:v>Commit 011d187; PR #89 remains mergeable.</x:v>
      </x:c>
    </x:row>
    <x:row r="30" ht="48" customHeight="1">
      <x:c r="A30" s="170" t="str">
        <x:v>QA-025</x:v>
      </x:c>
      <x:c r="B30" s="170" t="str">
        <x:v>Automation</x:v>
      </x:c>
      <x:c r="C30" s="170" t="str">
        <x:v>Network and page-error evidence policy</x:v>
      </x:c>
      <x:c r="D30" s="170" t="str">
        <x:v>N/A</x:v>
      </x:c>
      <x:c r="E30" s="170" t="str">
        <x:v>Node tests + CI</x:v>
      </x:c>
      <x:c r="F30" s="170" t="str">
        <x:v>Yes</x:v>
      </x:c>
      <x:c r="G30" s="170" t="str">
        <x:v>T-003</x:v>
      </x:c>
      <x:c r="H30" s="170" t="str">
        <x:v>Passed</x:v>
      </x:c>
      <x:c r="I30" s="171" t="n">
        <x:v>46215.72222222222</x:v>
      </x:c>
      <x:c r="J30" s="170" t="str">
        <x:v>7 evidence tests; incident integration; run 29201788958</x:v>
      </x:c>
      <x:c r="K30" s="170" t="str">
        <x:v>First-party failures block; expected auth/analytics/abort noise does not.</x:v>
      </x:c>
    </x:row>
    <x:row r="31" ht="54" customHeight="1">
      <x:c r="A31" s="170" t="str">
        <x:v>QA-026</x:v>
      </x:c>
      <x:c r="B31" s="170" t="str">
        <x:v>Automation</x:v>
      </x:c>
      <x:c r="C31" s="170" t="str">
        <x:v>Outcome-oracle safety and verdict policy</x:v>
      </x:c>
      <x:c r="D31" s="170" t="str">
        <x:v>N/A</x:v>
      </x:c>
      <x:c r="E31" s="170" t="str">
        <x:v>Node tests</x:v>
      </x:c>
      <x:c r="F31" s="170" t="str">
        <x:v>Yes</x:v>
      </x:c>
      <x:c r="G31" s="170" t="str">
        <x:v>T-008</x:v>
      </x:c>
      <x:c r="H31" s="170" t="str">
        <x:v>Passed</x:v>
      </x:c>
      <x:c r="I31" s="171" t="n">
        <x:v>46215.73472222222</x:v>
      </x:c>
      <x:c r="J31" s="170" t="str">
        <x:v>40/40 Guardian policy/oracle tests</x:v>
      </x:c>
      <x:c r="K31" s="170" t="str">
        <x:v>GET-only, origin pinning, body non-retention, SHA matching, and complete-evidence gates passed.</x:v>
      </x:c>
    </x:row>
    <x:row r="32" ht="54" customHeight="1">
      <x:c r="A32" s="170" t="str">
        <x:v>QA-027</x:v>
      </x:c>
      <x:c r="B32" s="170" t="str">
        <x:v>Production</x:v>
      </x:c>
      <x:c r="C32" s="170" t="str">
        <x:v>Public frontend/API/DB/schema outcomes</x:v>
      </x:c>
      <x:c r="D32" s="170" t="str">
        <x:v>Production</x:v>
      </x:c>
      <x:c r="E32" s="170" t="str">
        <x:v>Read-only HTTP oracles</x:v>
      </x:c>
      <x:c r="F32" s="170" t="str">
        <x:v>Yes</x:v>
      </x:c>
      <x:c r="G32" s="170" t="str">
        <x:v>T-011</x:v>
      </x:c>
      <x:c r="H32" s="170" t="str">
        <x:v>Failed</x:v>
      </x:c>
      <x:c r="I32" s="171" t="n">
        <x:v>46215.73472222222</x:v>
      </x:c>
      <x:c r="J32" s="170" t="str">
        <x:v>2/4 passed</x:v>
      </x:c>
      <x:c r="K32" s="170" t="str">
        <x:v>DB and schema passed; frontend/API identity await deployment of deployment.commitSha contract.</x:v>
      </x:c>
    </x:row>
    <x:row r="33" ht="54" customHeight="1">
      <x:c r="A33" s="170" t="str">
        <x:v>QA-028</x:v>
      </x:c>
      <x:c r="B33" s="170" t="str">
        <x:v>CI</x:v>
      </x:c>
      <x:c r="C33" s="170" t="str">
        <x:v>Outcome-oracle PR release gate</x:v>
      </x:c>
      <x:c r="D33" s="170" t="str">
        <x:v>GitHub runner</x:v>
      </x:c>
      <x:c r="E33" s="170" t="str">
        <x:v>GitHub Actions</x:v>
      </x:c>
      <x:c r="F33" s="170" t="str">
        <x:v>Yes</x:v>
      </x:c>
      <x:c r="G33" s="170" t="str">
        <x:v>T-009</x:v>
      </x:c>
      <x:c r="H33" s="170" t="str">
        <x:v>Passed</x:v>
      </x:c>
      <x:c r="I33" s="171" t="n">
        <x:v>46215.73472222222</x:v>
      </x:c>
      <x:c r="J33" s="170" t="str">
        <x:v>Run 29202648617 passed in 1m11s</x:v>
      </x:c>
      <x:c r="K33" s="170" t="str">
        <x:v>Commit a110f26; PR #89 is mergeable and CI-green.</x:v>
      </x:c>
    </x:row>
    <x:row r="34" ht="54" customHeight="1">
      <x:c r="A34" s="170" t="str">
        <x:v>QA-029</x:v>
      </x:c>
      <x:c r="B34" s="170" t="str">
        <x:v>Staging</x:v>
      </x:c>
      <x:c r="C34" s="170" t="str">
        <x:v>Public frontend/API/DB/schema outcomes</x:v>
      </x:c>
      <x:c r="D34" s="170" t="str">
        <x:v>Staging</x:v>
      </x:c>
      <x:c r="E34" s="170" t="str">
        <x:v>Read-only HTTP oracles</x:v>
      </x:c>
      <x:c r="F34" s="170" t="str">
        <x:v>Yes</x:v>
      </x:c>
      <x:c r="G34" s="170" t="str">
        <x:v>T-011</x:v>
      </x:c>
      <x:c r="H34" s="170" t="str">
        <x:v>Failed</x:v>
      </x:c>
      <x:c r="I34" s="171" t="n">
        <x:v>46215.74166666667</x:v>
      </x:c>
      <x:c r="J34" s="170" t="str">
        <x:v>2/4 passed</x:v>
      </x:c>
      <x:c r="K34" s="170" t="str">
        <x:v>Staging DB/schema pass; frontend/API identity require candidate deployment of the new health contract.</x:v>
      </x:c>
    </x:row>
    <x:row r="35" ht="58" customHeight="1">
      <x:c r="A35" s="170" t="str">
        <x:v>QA-030</x:v>
      </x:c>
      <x:c r="B35" s="170" t="str">
        <x:v>Automation</x:v>
      </x:c>
      <x:c r="C35" s="170" t="str">
        <x:v>Authenticated owner smoke bundle and policy</x:v>
      </x:c>
      <x:c r="D35" s="170" t="str">
        <x:v>1366×900</x:v>
      </x:c>
      <x:c r="E35" s="170" t="str">
        <x:v>Checkly CLI + tsc + ESLint</x:v>
      </x:c>
      <x:c r="F35" s="170" t="str">
        <x:v>Yes</x:v>
      </x:c>
      <x:c r="G35" s="170" t="str">
        <x:v>T-003</x:v>
      </x:c>
      <x:c r="H35" s="170" t="str">
        <x:v>Passed</x:v>
      </x:c>
      <x:c r="I35" s="171" t="n">
        <x:v>46215.756944444445</x:v>
      </x:c>
      <x:c r="J35" s="170" t="str">
        <x:v>Check definition bundled; type/lint/YAML green</x:v>
      </x:c>
      <x:c r="K35" s="170" t="str">
        <x:v>Five read-only owner routes and network/overflow assertions compile for Checkly runtime 2025.04.</x:v>
      </x:c>
    </x:row>
    <x:row r="36" ht="58" customHeight="1">
      <x:c r="A36" s="170" t="str">
        <x:v>QA-031</x:v>
      </x:c>
      <x:c r="B36" s="170" t="str">
        <x:v>Production</x:v>
      </x:c>
      <x:c r="C36" s="170" t="str">
        <x:v>Authenticated owner desktop route smoke</x:v>
      </x:c>
      <x:c r="D36" s="170" t="str">
        <x:v>1366×900</x:v>
      </x:c>
      <x:c r="E36" s="170" t="str">
        <x:v>Checkly cloud Chromium</x:v>
      </x:c>
      <x:c r="F36" s="170" t="str">
        <x:v>Yes</x:v>
      </x:c>
      <x:c r="G36" s="170" t="str">
        <x:v>T-003</x:v>
      </x:c>
      <x:c r="H36" s="170" t="str">
        <x:v>Passed</x:v>
      </x:c>
      <x:c r="I36" s="171" t="n">
        <x:v>46215.756944444445</x:v>
      </x:c>
      <x:c r="J36" s="170" t="str">
        <x:v>Run 29203229913: 1/1 in 18s</x:v>
      </x:c>
      <x:c r="K36" s="170" t="str">
        <x:v>Dashboard, customers, jobs, invoices, and reports passed; no email sent.</x:v>
      </x:c>
    </x:row>
    <x:row r="37" ht="58" customHeight="1">
      <x:c r="A37" s="170" t="str">
        <x:v>QA-032</x:v>
      </x:c>
      <x:c r="B37" s="170" t="str">
        <x:v>Production</x:v>
      </x:c>
      <x:c r="C37" s="170" t="str">
        <x:v>Complete Checkly auth catalog</x:v>
      </x:c>
      <x:c r="D37" s="170" t="str">
        <x:v>Desktop + mobile</x:v>
      </x:c>
      <x:c r="E37" s="170" t="str">
        <x:v>Checkly cloud Chromium</x:v>
      </x:c>
      <x:c r="F37" s="170" t="str">
        <x:v>Yes</x:v>
      </x:c>
      <x:c r="G37" s="170" t="str">
        <x:v>T-013</x:v>
      </x:c>
      <x:c r="H37" s="170" t="str">
        <x:v>Failed</x:v>
      </x:c>
      <x:c r="I37" s="171" t="n">
        <x:v>46215.756944444445</x:v>
      </x:c>
      <x:c r="J37" s="170" t="str">
        <x:v>Run 29202904316: 6/8 passed</x:v>
      </x:c>
      <x:c r="K37" s="170" t="str">
        <x:v>Desktop locator drift was repaired; mobile field signup still times out at auth-role and remains open.</x:v>
      </x:c>
    </x:row>
    <x:row r="38" ht="58" customHeight="1">
      <x:c r="A38" s="170" t="str">
        <x:v>QA-033</x:v>
      </x:c>
      <x:c r="B38" s="170" t="str">
        <x:v>Production</x:v>
      </x:c>
      <x:c r="C38" s="170" t="str">
        <x:v>Isolated mobile field email signup</x:v>
      </x:c>
      <x:c r="D38" s="170" t="str">
        <x:v>390×844</x:v>
      </x:c>
      <x:c r="E38" s="170" t="str">
        <x:v>Checkly cloud Chromium</x:v>
      </x:c>
      <x:c r="F38" s="170" t="str">
        <x:v>Yes</x:v>
      </x:c>
      <x:c r="G38" s="170" t="str">
        <x:v>T-013</x:v>
      </x:c>
      <x:c r="H38" s="170" t="str">
        <x:v>Passed</x:v>
      </x:c>
      <x:c r="I38" s="171" t="n">
        <x:v>46215.76180555556</x:v>
      </x:c>
      <x:c r="J38" s="170" t="str">
        <x:v>Run 29203535900: 1/1 in 7s</x:v>
      </x:c>
      <x:c r="K38" s="170" t="str">
        <x:v>Fresh email signup reached active role selection; signup screen inactive; no email sent.</x:v>
      </x:c>
    </x:row>
    <x:row r="39" ht="54" customHeight="1">
      <x:c r="A39" s="170" t="str">
        <x:v>QA-034</x:v>
      </x:c>
      <x:c r="B39" s="170" t="str">
        <x:v>CI</x:v>
      </x:c>
      <x:c r="C39" s="170" t="str">
        <x:v>Final mobile-repair PR release gate</x:v>
      </x:c>
      <x:c r="D39" s="170" t="str">
        <x:v>GitHub runner</x:v>
      </x:c>
      <x:c r="E39" s="170" t="str">
        <x:v>GitHub Actions</x:v>
      </x:c>
      <x:c r="F39" s="170" t="str">
        <x:v>Yes</x:v>
      </x:c>
      <x:c r="G39" s="170" t="str">
        <x:v>T-009</x:v>
      </x:c>
      <x:c r="H39" s="170" t="str">
        <x:v>Passed</x:v>
      </x:c>
      <x:c r="I39" s="171" t="n">
        <x:v>46215.76180555556</x:v>
      </x:c>
      <x:c r="J39" s="170" t="str">
        <x:v>Run 29203534314 passed in 1m10s</x:v>
      </x:c>
      <x:c r="K39" s="170" t="str">
        <x:v>Commit 325541d; PR #89 is mergeable and clean.</x:v>
      </x:c>
    </x:row>
    <x:row r="40" ht="62" customHeight="1">
      <x:c r="A40" s="170" t="str">
        <x:v>QA-035</x:v>
      </x:c>
      <x:c r="B40" s="170" t="str">
        <x:v>Production</x:v>
      </x:c>
      <x:c r="C40" s="170" t="str">
        <x:v>Complete Checkly catalog before readiness instrumentation</x:v>
      </x:c>
      <x:c r="D40" s="170" t="str">
        <x:v>Desktop + mobile</x:v>
      </x:c>
      <x:c r="E40" s="170" t="str">
        <x:v>Checkly cloud Chromium</x:v>
      </x:c>
      <x:c r="F40" s="170" t="str">
        <x:v>Yes</x:v>
      </x:c>
      <x:c r="G40" s="170" t="str">
        <x:v>T-003</x:v>
      </x:c>
      <x:c r="H40" s="170" t="str">
        <x:v>Failed</x:v>
      </x:c>
      <x:c r="I40" s="171" t="n">
        <x:v>46215.77222222222</x:v>
      </x:c>
      <x:c r="J40" s="170" t="str">
        <x:v>Run 29203761187: 7/8 passed</x:v>
      </x:c>
      <x:c r="K40" s="170" t="str">
        <x:v>Reports missed its heading for 30s; isolated owner rerun 29203862136 passed in 17s.</x:v>
      </x:c>
    </x:row>
    <x:row r="41" ht="62" customHeight="1">
      <x:c r="A41" s="170" t="str">
        <x:v>QA-036</x:v>
      </x:c>
      <x:c r="B41" s="170" t="str">
        <x:v>Production</x:v>
      </x:c>
      <x:c r="C41" s="170" t="str">
        <x:v>Complete final-head Checkly auth catalog</x:v>
      </x:c>
      <x:c r="D41" s="170" t="str">
        <x:v>Desktop + mobile</x:v>
      </x:c>
      <x:c r="E41" s="170" t="str">
        <x:v>Checkly cloud Chromium</x:v>
      </x:c>
      <x:c r="F41" s="170" t="str">
        <x:v>Yes</x:v>
      </x:c>
      <x:c r="G41" s="170" t="str">
        <x:v>T-003</x:v>
      </x:c>
      <x:c r="H41" s="170" t="str">
        <x:v>Passed</x:v>
      </x:c>
      <x:c r="I41" s="171" t="n">
        <x:v>46215.77222222222</x:v>
      </x:c>
      <x:c r="J41" s="170" t="str">
        <x:v>Run 29204005998: 8/8 passed</x:v>
      </x:c>
      <x:c r="K41" s="170" t="str">
        <x:v>All eight checks passed on the first attempt; email was disabled and incident result was passed.</x:v>
      </x:c>
    </x:row>
    <x:row r="42" ht="62" customHeight="1">
      <x:c r="A42" s="170" t="str">
        <x:v>QA-037</x:v>
      </x:c>
      <x:c r="B42" s="170" t="str">
        <x:v>CI</x:v>
      </x:c>
      <x:c r="C42" s="170" t="str">
        <x:v>Readiness-diagnostics PR release gate</x:v>
      </x:c>
      <x:c r="D42" s="170" t="str">
        <x:v>GitHub runner</x:v>
      </x:c>
      <x:c r="E42" s="170" t="str">
        <x:v>GitHub Actions</x:v>
      </x:c>
      <x:c r="F42" s="170" t="str">
        <x:v>Yes</x:v>
      </x:c>
      <x:c r="G42" s="170" t="str">
        <x:v>T-009</x:v>
      </x:c>
      <x:c r="H42" s="170" t="str">
        <x:v>Passed</x:v>
      </x:c>
      <x:c r="I42" s="171" t="n">
        <x:v>46215.77222222222</x:v>
      </x:c>
      <x:c r="J42" s="170" t="str">
        <x:v>Run 29203992162 passed in 1m6s</x:v>
      </x:c>
      <x:c r="K42" s="170" t="str">
        <x:v>Commit 0db5838; PR #89 is mergeable and clean.</x:v>
      </x:c>
    </x:row>
    <x:row r="43" ht="64" customHeight="1">
      <x:c r="A43" s="170" t="str">
        <x:v>QA-038</x:v>
      </x:c>
      <x:c r="B43" s="170" t="str">
        <x:v>Regression</x:v>
      </x:c>
      <x:c r="C43" s="170" t="str">
        <x:v>Shared route loading and recovery states</x:v>
      </x:c>
      <x:c r="D43" s="170" t="str">
        <x:v>Desktop</x:v>
      </x:c>
      <x:c r="E43" s="170" t="str">
        <x:v>Vitest + Testing Library</x:v>
      </x:c>
      <x:c r="F43" s="170" t="str">
        <x:v>Yes</x:v>
      </x:c>
      <x:c r="G43" s="170" t="str">
        <x:v>T-014</x:v>
      </x:c>
      <x:c r="H43" s="170" t="str">
        <x:v>Passed</x:v>
      </x:c>
      <x:c r="I43" s="171" t="n">
        <x:v>46215.782638888886</x:v>
      </x:c>
      <x:c r="J43" s="170" t="str">
        <x:v>2/2 focused; 746/746 complete</x:v>
      </x:c>
      <x:c r="K43" s="170" t="str">
        <x:v>Immediate accessible loading and delayed reload recovery are covered; all 68 test files passed.</x:v>
      </x:c>
    </x:row>
    <x:row r="44" ht="64" customHeight="1">
      <x:c r="A44" s="170" t="str">
        <x:v>QA-039</x:v>
      </x:c>
      <x:c r="B44" s="170" t="str">
        <x:v>Build</x:v>
      </x:c>
      <x:c r="C44" s="170" t="str">
        <x:v>Route recovery production bundle</x:v>
      </x:c>
      <x:c r="D44" s="170" t="str">
        <x:v>Desktop</x:v>
      </x:c>
      <x:c r="E44" s="170" t="str">
        <x:v>Vite build</x:v>
      </x:c>
      <x:c r="F44" s="170" t="str">
        <x:v>Yes</x:v>
      </x:c>
      <x:c r="G44" s="170" t="str">
        <x:v>T-014</x:v>
      </x:c>
      <x:c r="H44" s="170" t="str">
        <x:v>Passed</x:v>
      </x:c>
      <x:c r="I44" s="171" t="n">
        <x:v>46215.782638888886</x:v>
      </x:c>
      <x:c r="J44" s="170" t="str">
        <x:v>5,698 modules; exit 0</x:v>
      </x:c>
      <x:c r="K44" s="170" t="str">
        <x:v>Reports chunk remained about 38.9 kB; existing large-chunk and dependency warnings are tracked separately.</x:v>
      </x:c>
    </x:row>
    <x:row r="45" ht="64" customHeight="1">
      <x:c r="A45" s="170" t="str">
        <x:v>QA-040</x:v>
      </x:c>
      <x:c r="B45" s="170" t="str">
        <x:v>Production</x:v>
      </x:c>
      <x:c r="C45" s="170" t="str">
        <x:v>Exact-head complete catalog and route timings</x:v>
      </x:c>
      <x:c r="D45" s="170" t="str">
        <x:v>Desktop + mobile</x:v>
      </x:c>
      <x:c r="E45" s="170" t="str">
        <x:v>Checkly cloud Chromium</x:v>
      </x:c>
      <x:c r="F45" s="170" t="str">
        <x:v>Yes</x:v>
      </x:c>
      <x:c r="G45" s="170" t="str">
        <x:v>T-014</x:v>
      </x:c>
      <x:c r="H45" s="170" t="str">
        <x:v>Passed</x:v>
      </x:c>
      <x:c r="I45" s="171" t="n">
        <x:v>46215.782638888886</x:v>
      </x:c>
      <x:c r="J45" s="170" t="str">
        <x:v>Run 29204474751: 8/8 passed</x:v>
      </x:c>
      <x:c r="K45" s="170" t="str">
        <x:v>Owner route timings were 1.457s, 2.493s, 1.477s, and 3.155s; no retry used.</x:v>
      </x:c>
    </x:row>
    <x:row r="46" ht="68" customHeight="1">
      <x:c r="A46" s="170" t="str">
        <x:v>QA-041</x:v>
      </x:c>
      <x:c r="B46" s="170" t="str">
        <x:v>CI</x:v>
      </x:c>
      <x:c r="C46" s="170" t="str">
        <x:v>Node 24-generation QA workflow actions</x:v>
      </x:c>
      <x:c r="D46" s="170" t="str">
        <x:v>GitHub runner</x:v>
      </x:c>
      <x:c r="E46" s="170" t="str">
        <x:v>GitHub Actions</x:v>
      </x:c>
      <x:c r="F46" s="170" t="str">
        <x:v>Yes</x:v>
      </x:c>
      <x:c r="G46" s="170" t="str">
        <x:v>T-009</x:v>
      </x:c>
      <x:c r="H46" s="170" t="str">
        <x:v>Passed</x:v>
      </x:c>
      <x:c r="I46" s="171" t="n">
        <x:v>46215.80902777778</x:v>
      </x:c>
      <x:c r="J46" s="170" t="str">
        <x:v>Run 29204724354 passed</x:v>
      </x:c>
      <x:c r="K46" s="170" t="str">
        <x:v>All ten workflows parsed; Node 20 warning removed; artifact quota remained nonblocking.</x:v>
      </x:c>
    </x:row>
    <x:row r="47" ht="68" customHeight="1">
      <x:c r="A47" s="170" t="str">
        <x:v>QA-042</x:v>
      </x:c>
      <x:c r="B47" s="170" t="str">
        <x:v>Production</x:v>
      </x:c>
      <x:c r="C47" s="170" t="str">
        <x:v>Reports accessibility under first-run onboarding</x:v>
      </x:c>
      <x:c r="D47" s="170" t="str">
        <x:v>1366×900</x:v>
      </x:c>
      <x:c r="E47" s="170" t="str">
        <x:v>Checkly cloud Chromium</x:v>
      </x:c>
      <x:c r="F47" s="170" t="str">
        <x:v>Yes</x:v>
      </x:c>
      <x:c r="G47" s="170" t="str">
        <x:v>T-014</x:v>
      </x:c>
      <x:c r="H47" s="170" t="str">
        <x:v>Failed</x:v>
      </x:c>
      <x:c r="I47" s="171" t="n">
        <x:v>46215.80902777778</x:v>
      </x:c>
      <x:c r="J47" s="170" t="str">
        <x:v>Run 29205191769 failed twice</x:v>
      </x:c>
      <x:c r="K47" s="170" t="str">
        <x:v>Page rendered quickly, but the chained setup-goals modal hid Reports from the accessibility tree; root cause fixed in 4f6df89.</x:v>
      </x:c>
    </x:row>
    <x:row r="48" ht="68" customHeight="1">
      <x:c r="A48" s="170" t="str">
        <x:v>QA-043</x:v>
      </x:c>
      <x:c r="B48" s="170" t="str">
        <x:v>Infrastructure</x:v>
      </x:c>
      <x:c r="C48" s="170" t="str">
        <x:v>Exact-head isolated owner cloud confirmation</x:v>
      </x:c>
      <x:c r="D48" s="170" t="str">
        <x:v>1366×900</x:v>
      </x:c>
      <x:c r="E48" s="170" t="str">
        <x:v>GitHub Actions + Checkly</x:v>
      </x:c>
      <x:c r="F48" s="170" t="str">
        <x:v>Yes</x:v>
      </x:c>
      <x:c r="G48" s="170" t="str">
        <x:v>T-011</x:v>
      </x:c>
      <x:c r="H48" s="170" t="str">
        <x:v>Blocked</x:v>
      </x:c>
      <x:c r="I48" s="171" t="n">
        <x:v>46215.80902777778</x:v>
      </x:c>
      <x:c r="J48" s="170" t="str">
        <x:v>Run 29205363968 started zero steps</x:v>
      </x:c>
      <x:c r="K48" s="170" t="str">
        <x:v>GitHub account payment/spending limit refused the runner; no product test executed.</x:v>
      </x:c>
    </x:row>
    <x:row r="49" ht="68" customHeight="1">
      <x:c r="A49" s="170" t="str">
        <x:v>QA-044</x:v>
      </x:c>
      <x:c r="B49" s="170" t="str">
        <x:v>Regression</x:v>
      </x:c>
      <x:c r="C49" s="170" t="str">
        <x:v>Post-dialog-fix unit and production build</x:v>
      </x:c>
      <x:c r="D49" s="170" t="str">
        <x:v>N/A</x:v>
      </x:c>
      <x:c r="E49" s="170" t="str">
        <x:v>Vitest + Vite</x:v>
      </x:c>
      <x:c r="F49" s="170" t="str">
        <x:v>Yes</x:v>
      </x:c>
      <x:c r="G49" s="170" t="str">
        <x:v>T-014</x:v>
      </x:c>
      <x:c r="H49" s="170" t="str">
        <x:v>Passed</x:v>
      </x:c>
      <x:c r="I49" s="171" t="n">
        <x:v>46215.80902777778</x:v>
      </x:c>
      <x:c r="J49" s="170" t="str">
        <x:v>746/746 tests; 5,698 modules</x:v>
      </x:c>
      <x:c r="K49" s="170" t="str">
        <x:v>All 68 test files and the production build passed after the Checkly synchronization fix.</x:v>
      </x:c>
    </x:row>
    <x:row r="50" ht="72" customHeight="1">
      <x:c r="A50" s="170" t="str">
        <x:v>QA-045</x:v>
      </x:c>
      <x:c r="B50" s="170" t="str">
        <x:v>Automation</x:v>
      </x:c>
      <x:c r="C50" s="170" t="str">
        <x:v>GitHub billing-refusal incident classification</x:v>
      </x:c>
      <x:c r="D50" s="170" t="str">
        <x:v>N/A</x:v>
      </x:c>
      <x:c r="E50" s="170" t="str">
        <x:v>Node tests</x:v>
      </x:c>
      <x:c r="F50" s="170" t="str">
        <x:v>Yes</x:v>
      </x:c>
      <x:c r="G50" s="170" t="str">
        <x:v>T-004</x:v>
      </x:c>
      <x:c r="H50" s="170" t="str">
        <x:v>Passed</x:v>
      </x:c>
      <x:c r="I50" s="171" t="n">
        <x:v>46215.82638888889</x:v>
      </x:c>
      <x:c r="J50" s="170" t="str">
        <x:v>16/16 incident tests</x:v>
      </x:c>
      <x:c r="K50" s="170" t="str">
        <x:v>Zero-step payment/spending refusals are infrastructure warnings and cannot trigger Codex repair.</x:v>
      </x:c>
    </x:row>
    <x:row r="51" ht="72" customHeight="1">
      <x:c r="A51" s="170" t="str">
        <x:v>QA-046</x:v>
      </x:c>
      <x:c r="B51" s="170" t="str">
        <x:v>Automation</x:v>
      </x:c>
      <x:c r="C51" s="170" t="str">
        <x:v>Static owner route parity and local-server policy</x:v>
      </x:c>
      <x:c r="D51" s="170" t="str">
        <x:v>26 owner paths</x:v>
      </x:c>
      <x:c r="E51" s="170" t="str">
        <x:v>Guardian policy tests</x:v>
      </x:c>
      <x:c r="F51" s="170" t="str">
        <x:v>Yes</x:v>
      </x:c>
      <x:c r="G51" s="170" t="str">
        <x:v>T-014</x:v>
      </x:c>
      <x:c r="H51" s="170" t="str">
        <x:v>Passed</x:v>
      </x:c>
      <x:c r="I51" s="171" t="n">
        <x:v>46215.82638888889</x:v>
      </x:c>
      <x:c r="J51" s="170" t="str">
        <x:v>42/42 Guardian policy tests</x:v>
      </x:c>
      <x:c r="K51" s="170" t="str">
        <x:v>All owner routes are in Checkly fallback; unknown local servers are rejected by default.</x:v>
      </x:c>
    </x:row>
    <x:row r="52" ht="72" customHeight="1">
      <x:c r="A52" s="170" t="str">
        <x:v>QA-047</x:v>
      </x:c>
      <x:c r="B52" s="170" t="str">
        <x:v>Accessibility</x:v>
      </x:c>
      <x:c r="C52" s="170" t="str">
        <x:v>Services heading and modal settlement</x:v>
      </x:c>
      <x:c r="D52" s="170" t="str">
        <x:v>3 desktop sizes</x:v>
      </x:c>
      <x:c r="E52" s="170" t="str">
        <x:v>In-app Browser</x:v>
      </x:c>
      <x:c r="F52" s="170" t="str">
        <x:v>Yes</x:v>
      </x:c>
      <x:c r="G52" s="170" t="str">
        <x:v>T-014</x:v>
      </x:c>
      <x:c r="H52" s="170" t="str">
        <x:v>Passed</x:v>
      </x:c>
      <x:c r="I52" s="171" t="n">
        <x:v>46215.82638888889</x:v>
      </x:c>
      <x:c r="J52" s="170" t="str">
        <x:v>1440, 1280, and 1024 passed</x:v>
      </x:c>
      <x:c r="K52" s="170" t="str">
        <x:v>One h1, zero dialogs, and zero horizontal overflow after the chained onboarding flow.</x:v>
      </x:c>
    </x:row>
    <x:row r="53" ht="72" customHeight="1">
      <x:c r="A53" s="170" t="str">
        <x:v>QA-048</x:v>
      </x:c>
      <x:c r="B53" s="170" t="str">
        <x:v>Production</x:v>
      </x:c>
      <x:c r="C53" s="170" t="str">
        <x:v>Deterministic desktop critical workflows</x:v>
      </x:c>
      <x:c r="D53" s="170" t="str">
        <x:v>3 desktop sizes</x:v>
      </x:c>
      <x:c r="E53" s="170" t="str">
        <x:v>Playwright Chromium</x:v>
      </x:c>
      <x:c r="F53" s="170" t="str">
        <x:v>Yes</x:v>
      </x:c>
      <x:c r="G53" s="170" t="str">
        <x:v>T-009</x:v>
      </x:c>
      <x:c r="H53" s="170" t="str">
        <x:v>Passed</x:v>
      </x:c>
      <x:c r="I53" s="171" t="n">
        <x:v>46215.82638888889</x:v>
      </x:c>
      <x:c r="J53" s="170" t="str">
        <x:v>8/8 passed in 2.2m</x:v>
      </x:c>
      <x:c r="K53" s="170" t="str">
        <x:v>Auth, onboarding, persistence, tenant isolation, roles, invoice state, scheduling, and responsive owner desk passed.</x:v>
      </x:c>
    </x:row>
    <x:row r="54" ht="72" customHeight="1">
      <x:c r="A54" s="170" t="str">
        <x:v>QA-049</x:v>
      </x:c>
      <x:c r="B54" s="170" t="str">
        <x:v>Regression</x:v>
      </x:c>
      <x:c r="C54" s="170" t="str">
        <x:v>Full unit, type, build, and Checkly bundle</x:v>
      </x:c>
      <x:c r="D54" s="170" t="str">
        <x:v>N/A</x:v>
      </x:c>
      <x:c r="E54" s="170" t="str">
        <x:v>Vitest + tsc + Vite + Checkly</x:v>
      </x:c>
      <x:c r="F54" s="170" t="str">
        <x:v>Yes</x:v>
      </x:c>
      <x:c r="G54" s="170" t="str">
        <x:v>T-009</x:v>
      </x:c>
      <x:c r="H54" s="170" t="str">
        <x:v>Passed</x:v>
      </x:c>
      <x:c r="I54" s="171" t="n">
        <x:v>46215.82638888889</x:v>
      </x:c>
      <x:c r="J54" s="170" t="str">
        <x:v>746/746; 5,698 modules</x:v>
      </x:c>
      <x:c r="K54" s="170" t="str">
        <x:v>All 68 unit files, TypeScript, production build, Checkly bundling, focused lint, and workflow parsing passed.</x:v>
      </x:c>
    </x:row>
    <x:row r="55" ht="72" customHeight="1">
      <x:c r="A55" s="170" t="str">
        <x:v>QA-050</x:v>
      </x:c>
      <x:c r="B55" s="170" t="str">
        <x:v>Infrastructure</x:v>
      </x:c>
      <x:c r="C55" s="170" t="str">
        <x:v>Delegated desktop suite against default localhost</x:v>
      </x:c>
      <x:c r="D55" s="170" t="str">
        <x:v>Desktop Chrome</x:v>
      </x:c>
      <x:c r="E55" s="170" t="str">
        <x:v>Playwright</x:v>
      </x:c>
      <x:c r="F55" s="170" t="str">
        <x:v>Yes</x:v>
      </x:c>
      <x:c r="G55" s="170" t="str">
        <x:v>T-009</x:v>
      </x:c>
      <x:c r="H55" s="170" t="str">
        <x:v>Failed</x:v>
      </x:c>
      <x:c r="I55" s="171" t="n">
        <x:v>46215.82638888889</x:v>
      </x:c>
      <x:c r="J55" s="170" t="str">
        <x:v>2 unexpected; 191 skipped</x:v>
      </x:c>
      <x:c r="K55" s="170" t="str">
        <x:v>Invalid environment: port 5173 was pestflow-growth-kit, not this branch. Run stopped and not treated as product evidence.</x:v>
      </x:c>
    </x:row>
    <x:row r="56" ht="72" customHeight="1">
      <x:c r="A56" s="170" t="str">
        <x:v>QA-051</x:v>
      </x:c>
      <x:c r="B56" s="170" t="str">
        <x:v>Regression</x:v>
      </x:c>
      <x:c r="C56" s="170" t="str">
        <x:v>Exact-branch delegated desktop feature catalog</x:v>
      </x:c>
      <x:c r="D56" s="170" t="str">
        <x:v>193 behaviors</x:v>
      </x:c>
      <x:c r="E56" s="170" t="str">
        <x:v>Playwright Chromium</x:v>
      </x:c>
      <x:c r="F56" s="170" t="str">
        <x:v>Yes</x:v>
      </x:c>
      <x:c r="G56" s="170" t="str">
        <x:v>T-009</x:v>
      </x:c>
      <x:c r="H56" s="170" t="str">
        <x:v>Passed</x:v>
      </x:c>
      <x:c r="I56" s="171" t="n">
        <x:v>46215.82638888889</x:v>
      </x:c>
      <x:c r="J56" s="170" t="str">
        <x:v>193/193 passed in 3.8m</x:v>
      </x:c>
      <x:c r="K56" s="170" t="str">
        <x:v>Ran on dedicated c680 branch server; delivery actions were mocked and no real email was sent.</x:v>
      </x:c>
    </x:row>
    <x:row r="57" ht="72" customHeight="1">
      <x:c r="A57" s="170" t="str">
        <x:v>QA-052</x:v>
      </x:c>
      <x:c r="B57" s="170" t="str">
        <x:v>Infrastructure</x:v>
      </x:c>
      <x:c r="C57" s="170" t="str">
        <x:v>Expanded exact-head Checkly owner proof</x:v>
      </x:c>
      <x:c r="D57" s="170" t="str">
        <x:v>1366×900</x:v>
      </x:c>
      <x:c r="E57" s="170" t="str">
        <x:v>GitHub Actions + Checkly</x:v>
      </x:c>
      <x:c r="F57" s="170" t="str">
        <x:v>Yes</x:v>
      </x:c>
      <x:c r="G57" s="170" t="str">
        <x:v>T-011</x:v>
      </x:c>
      <x:c r="H57" s="170" t="str">
        <x:v>Blocked</x:v>
      </x:c>
      <x:c r="I57" s="171" t="n">
        <x:v>46215.82638888889</x:v>
      </x:c>
      <x:c r="J57" s="170" t="str">
        <x:v>Run 29206513846 started zero steps</x:v>
      </x:c>
      <x:c r="K57" s="170" t="str">
        <x:v>GitHub runner capacity refused execution; the 26-route cloud result remains mandatory and unclaimed.</x:v>
      </x:c>
    </x:row>
    <x:row r="58" ht="76" customHeight="1">
      <x:c r="A58" s="170" t="str">
        <x:v>QA-053</x:v>
      </x:c>
      <x:c r="B58" s="170" t="str">
        <x:v>Safety</x:v>
      </x:c>
      <x:c r="C58" s="170" t="str">
        <x:v>QA identity, email, and deletion boundaries</x:v>
      </x:c>
      <x:c r="D58" s="170" t="str">
        <x:v>N/A</x:v>
      </x:c>
      <x:c r="E58" s="170" t="str">
        <x:v>Vitest + policy tests</x:v>
      </x:c>
      <x:c r="F58" s="170" t="str">
        <x:v>Yes</x:v>
      </x:c>
      <x:c r="G58" s="170" t="str">
        <x:v>T-009</x:v>
      </x:c>
      <x:c r="H58" s="170" t="str">
        <x:v>Passed</x:v>
      </x:c>
      <x:c r="I58" s="171" t="n">
        <x:v>46215.847916666666</x:v>
      </x:c>
      <x:c r="J58" s="170" t="str">
        <x:v>15 focused; 43/43 policy</x:v>
      </x:c>
      <x:c r="K58" s="170" t="str">
        <x:v>Lookalikes rejected; test email exits before SQL/provider; company cascade failure blocks auth deletion.</x:v>
      </x:c>
    </x:row>
    <x:row r="59" ht="76" customHeight="1">
      <x:c r="A59" s="170" t="str">
        <x:v>QA-054</x:v>
      </x:c>
      <x:c r="B59" s="170" t="str">
        <x:v>Production</x:v>
      </x:c>
      <x:c r="C59" s="170" t="str">
        <x:v>First deterministic fixture teardown proof</x:v>
      </x:c>
      <x:c r="D59" s="170" t="str">
        <x:v>3 desktop sizes</x:v>
      </x:c>
      <x:c r="E59" s="170" t="str">
        <x:v>Playwright Chromium</x:v>
      </x:c>
      <x:c r="F59" s="170" t="str">
        <x:v>Yes</x:v>
      </x:c>
      <x:c r="G59" s="170" t="str">
        <x:v>T-009</x:v>
      </x:c>
      <x:c r="H59" s="170" t="str">
        <x:v>Failed</x:v>
      </x:c>
      <x:c r="I59" s="171" t="n">
        <x:v>46215.847916666666</x:v>
      </x:c>
      <x:c r="J59" s="170" t="str">
        <x:v>7 workflow passes; cleanup incomplete</x:v>
      </x:c>
      <x:c r="K59" s="170" t="str">
        <x:v>Correct fail-closed result: one logged-out QA session and two rate-limited rejection checks required lifecycle repair.</x:v>
      </x:c>
    </x:row>
    <x:row r="60" ht="76" customHeight="1">
      <x:c r="A60" s="170" t="str">
        <x:v>QA-055</x:v>
      </x:c>
      <x:c r="B60" s="170" t="str">
        <x:v>Production</x:v>
      </x:c>
      <x:c r="C60" s="170" t="str">
        <x:v>Corrected deterministic workflow and teardown proof</x:v>
      </x:c>
      <x:c r="D60" s="170" t="str">
        <x:v>3 desktop sizes</x:v>
      </x:c>
      <x:c r="E60" s="170" t="str">
        <x:v>Playwright Chromium</x:v>
      </x:c>
      <x:c r="F60" s="170" t="str">
        <x:v>Yes</x:v>
      </x:c>
      <x:c r="G60" s="170" t="str">
        <x:v>T-009</x:v>
      </x:c>
      <x:c r="H60" s="170" t="str">
        <x:v>Passed</x:v>
      </x:c>
      <x:c r="I60" s="171" t="n">
        <x:v>46215.847916666666</x:v>
      </x:c>
      <x:c r="J60" s="170" t="str">
        <x:v>8/8 in 4.1m; cleanup 5/5</x:v>
      </x:c>
      <x:c r="K60" s="170" t="str">
        <x:v>Every created account deleted; every session null; every credential retry rejected.</x:v>
      </x:c>
    </x:row>
    <x:row r="61" ht="76" customHeight="1">
      <x:c r="A61" s="170" t="str">
        <x:v>QA-056</x:v>
      </x:c>
      <x:c r="B61" s="170" t="str">
        <x:v>Regression</x:v>
      </x:c>
      <x:c r="C61" s="170" t="str">
        <x:v>Full unit, policy, incident, type, lint, and build</x:v>
      </x:c>
      <x:c r="D61" s="170" t="str">
        <x:v>N/A</x:v>
      </x:c>
      <x:c r="E61" s="170" t="str">
        <x:v>Vitest + Node + tsc + Vite</x:v>
      </x:c>
      <x:c r="F61" s="170" t="str">
        <x:v>Yes</x:v>
      </x:c>
      <x:c r="G61" s="170" t="str">
        <x:v>T-009</x:v>
      </x:c>
      <x:c r="H61" s="170" t="str">
        <x:v>Passed</x:v>
      </x:c>
      <x:c r="I61" s="171" t="n">
        <x:v>46215.847916666666</x:v>
      </x:c>
      <x:c r="J61" s="170" t="str">
        <x:v>753 + 43 + 16; 5,698 modules</x:v>
      </x:c>
      <x:c r="K61" s="170" t="str">
        <x:v>All new lifecycle logic and the complete existing PestFlow suite passed.</x:v>
      </x:c>
    </x:row>
    <x:row r="62" ht="76" customHeight="1">
      <x:c r="A62" s="170" t="str">
        <x:v>QA-057</x:v>
      </x:c>
      <x:c r="B62" s="170" t="str">
        <x:v>Infrastructure</x:v>
      </x:c>
      <x:c r="C62" s="170" t="str">
        <x:v>Exact-head PR release gate</x:v>
      </x:c>
      <x:c r="D62" s="170" t="str">
        <x:v>GitHub runner</x:v>
      </x:c>
      <x:c r="E62" s="170" t="str">
        <x:v>GitHub Actions</x:v>
      </x:c>
      <x:c r="F62" s="170" t="str">
        <x:v>Yes</x:v>
      </x:c>
      <x:c r="G62" s="170" t="str">
        <x:v>T-011</x:v>
      </x:c>
      <x:c r="H62" s="170" t="str">
        <x:v>Blocked</x:v>
      </x:c>
      <x:c r="I62" s="171" t="n">
        <x:v>46215.847916666666</x:v>
      </x:c>
      <x:c r="J62" s="170" t="str">
        <x:v>Run 29207515135: zero steps</x:v>
      </x:c>
      <x:c r="K62" s="170" t="str">
        <x:v>GitHub payment/spending refusal; no product or QA command started.</x:v>
      </x:c>
    </x:row>
    <x:row r="63" ht="76" customHeight="1">
      <x:c r="A63" s="170" t="str">
        <x:v>QA-058</x:v>
      </x:c>
      <x:c r="B63" s="170" t="str">
        <x:v>Infrastructure</x:v>
      </x:c>
      <x:c r="C63" s="170" t="str">
        <x:v>Exact-head 26-route owner cloud proof</x:v>
      </x:c>
      <x:c r="D63" s="170" t="str">
        <x:v>1366×900</x:v>
      </x:c>
      <x:c r="E63" s="170" t="str">
        <x:v>GitHub Actions + Checkly</x:v>
      </x:c>
      <x:c r="F63" s="170" t="str">
        <x:v>Yes</x:v>
      </x:c>
      <x:c r="G63" s="170" t="str">
        <x:v>T-011</x:v>
      </x:c>
      <x:c r="H63" s="170" t="str">
        <x:v>Blocked</x:v>
      </x:c>
      <x:c r="I63" s="171" t="n">
        <x:v>46215.847916666666</x:v>
      </x:c>
      <x:c r="J63" s="170" t="str">
        <x:v>Run 29207536485: zero steps</x:v>
      </x:c>
      <x:c r="K63" s="170" t="str">
        <x:v>Same GitHub payment/spending refusal; expanded cloud owner proof remains mandatory and unclaimed.</x:v>
      </x:c>
    </x:row>
    <x:row r="64" ht="78" customHeight="1">
      <x:c r="A64" s="170" t="str">
        <x:v>QA-059</x:v>
      </x:c>
      <x:c r="B64" s="170" t="str">
        <x:v>Safety</x:v>
      </x:c>
      <x:c r="C64" s="170" t="str">
        <x:v>Historical inventory read-only source policy</x:v>
      </x:c>
      <x:c r="D64" s="170" t="str">
        <x:v>N/A</x:v>
      </x:c>
      <x:c r="E64" s="170" t="str">
        <x:v>Node policy + tsc + ESLint</x:v>
      </x:c>
      <x:c r="F64" s="170" t="str">
        <x:v>Yes</x:v>
      </x:c>
      <x:c r="G64" s="170" t="str">
        <x:v>T-015</x:v>
      </x:c>
      <x:c r="H64" s="170" t="str">
        <x:v>Passed</x:v>
      </x:c>
      <x:c r="I64" s="171" t="n">
        <x:v>46215.854166666664</x:v>
      </x:c>
      <x:c r="J64" s="170" t="str">
        <x:v>44/44 Guardian policy tests</x:v>
      </x:c>
      <x:c r="K64" s="170" t="str">
        <x:v>Explicit confirmation and READ ONLY transaction required; SQL write verbs rejected from source.</x:v>
      </x:c>
    </x:row>
    <x:row r="65" ht="78" customHeight="1">
      <x:c r="A65" s="170" t="str">
        <x:v>QA-060</x:v>
      </x:c>
      <x:c r="B65" s="170" t="str">
        <x:v>Production</x:v>
      </x:c>
      <x:c r="C65" s="170" t="str">
        <x:v>Historical reserved-domain fixture inventory</x:v>
      </x:c>
      <x:c r="D65" s="170" t="str">
        <x:v>Production DB</x:v>
      </x:c>
      <x:c r="E65" s="170" t="str">
        <x:v>Railway SSH + Postgres</x:v>
      </x:c>
      <x:c r="F65" s="170" t="str">
        <x:v>Yes</x:v>
      </x:c>
      <x:c r="G65" s="170" t="str">
        <x:v>T-015</x:v>
      </x:c>
      <x:c r="H65" s="170" t="str">
        <x:v>Passed</x:v>
      </x:c>
      <x:c r="I65" s="171" t="n">
        <x:v>46215.854166666664</x:v>
      </x:c>
      <x:c r="J65" s="170" t="str">
        <x:v>55 users; 22 companies; 66 sessions</x:v>
      </x:c>
      <x:c r="K65" s="170" t="str">
        <x:v>Counts only: 22 customers, 22 jobs, 22 invoices plus dependencies; readOnly=true and no data changed.</x:v>
      </x:c>
    </x:row>
    <x:row r="66" ht="78" customHeight="1">
      <x:c r="A66" s="170" t="str">
        <x:v>QA-061</x:v>
      </x:c>
      <x:c r="B66" s="170" t="str">
        <x:v>Infrastructure</x:v>
      </x:c>
      <x:c r="C66" s="170" t="str">
        <x:v>Final-head PR release gate</x:v>
      </x:c>
      <x:c r="D66" s="170" t="str">
        <x:v>GitHub runner</x:v>
      </x:c>
      <x:c r="E66" s="170" t="str">
        <x:v>GitHub Actions</x:v>
      </x:c>
      <x:c r="F66" s="170" t="str">
        <x:v>Yes</x:v>
      </x:c>
      <x:c r="G66" s="170" t="str">
        <x:v>T-011</x:v>
      </x:c>
      <x:c r="H66" s="170" t="str">
        <x:v>Blocked</x:v>
      </x:c>
      <x:c r="I66" s="171" t="n">
        <x:v>46215.854166666664</x:v>
      </x:c>
      <x:c r="J66" s="170" t="str">
        <x:v>Run 29207823858: zero steps</x:v>
      </x:c>
      <x:c r="K66" s="170" t="str">
        <x:v>GitHub payment/spending refusal; no code or QA command started.</x:v>
      </x:c>
    </x:row>
    <x:row r="67" ht="78" customHeight="1">
      <x:c r="A67" s="170" t="str">
        <x:v>QA-062</x:v>
      </x:c>
      <x:c r="B67" s="170" t="str">
        <x:v>Infrastructure</x:v>
      </x:c>
      <x:c r="C67" s="170" t="str">
        <x:v>Final-head 26-route owner cloud proof</x:v>
      </x:c>
      <x:c r="D67" s="170" t="str">
        <x:v>1366×900</x:v>
      </x:c>
      <x:c r="E67" s="170" t="str">
        <x:v>GitHub Actions + Checkly</x:v>
      </x:c>
      <x:c r="F67" s="170" t="str">
        <x:v>Yes</x:v>
      </x:c>
      <x:c r="G67" s="170" t="str">
        <x:v>T-011</x:v>
      </x:c>
      <x:c r="H67" s="170" t="str">
        <x:v>Blocked</x:v>
      </x:c>
      <x:c r="I67" s="171" t="n">
        <x:v>46215.854166666664</x:v>
      </x:c>
      <x:c r="J67" s="170" t="str">
        <x:v>Run 29207830428: zero steps</x:v>
      </x:c>
      <x:c r="K67" s="170" t="str">
        <x:v>Same GitHub payment/spending refusal; exact-head owner proof remains mandatory and unclaimed.</x:v>
      </x:c>
    </x:row>
    <x:row r="68" ht="80" customHeight="1">
      <x:c r="A68" s="170" t="str">
        <x:v>QA-063</x:v>
      </x:c>
      <x:c r="B68" s="170" t="str">
        <x:v>Automation</x:v>
      </x:c>
      <x:c r="C68" s="170" t="str">
        <x:v>Shared static owner-route catalog parity</x:v>
      </x:c>
      <x:c r="D68" s="170" t="str">
        <x:v>27 owner routes</x:v>
      </x:c>
      <x:c r="E68" s="170" t="str">
        <x:v>Node policy</x:v>
      </x:c>
      <x:c r="F68" s="170" t="str">
        <x:v>Yes</x:v>
      </x:c>
      <x:c r="G68" s="170" t="str">
        <x:v>T-007</x:v>
      </x:c>
      <x:c r="H68" s="170" t="str">
        <x:v>Passed</x:v>
      </x:c>
      <x:c r="I68" s="171" t="n">
        <x:v>46215.913194444445</x:v>
      </x:c>
      <x:c r="J68" s="170" t="str">
        <x:v>44/44 Guardian policy tests</x:v>
      </x:c>
      <x:c r="K68" s="170" t="str">
        <x:v>Deterministic and Checkly consumers cannot drift; Move-In Assistant was added when main introduced the route.</x:v>
      </x:c>
    </x:row>
    <x:row r="69" ht="80" customHeight="1">
      <x:c r="A69" s="170" t="str">
        <x:v>QA-064</x:v>
      </x:c>
      <x:c r="B69" s="170" t="str">
        <x:v>Production</x:v>
      </x:c>
      <x:c r="C69" s="170" t="str">
        <x:v>Complete owner route/viewport audit</x:v>
      </x:c>
      <x:c r="D69" s="170" t="str">
        <x:v>3 widths × 26 historical routes</x:v>
      </x:c>
      <x:c r="E69" s="170" t="str">
        <x:v>Playwright Chromium</x:v>
      </x:c>
      <x:c r="F69" s="170" t="str">
        <x:v>Yes</x:v>
      </x:c>
      <x:c r="G69" s="170" t="str">
        <x:v>T-007</x:v>
      </x:c>
      <x:c r="H69" s="170" t="str">
        <x:v>Failed</x:v>
      </x:c>
      <x:c r="I69" s="171" t="n">
        <x:v>46215.913194444445</x:v>
      </x:c>
      <x:c r="J69" s="170" t="str">
        <x:v>69/78 passed</x:v>
      </x:c>
      <x:c r="K69" s="170" t="str">
        <x:v>Historical live audit predates Move-In Assistant; current required matrix is 27×3=81.</x:v>
      </x:c>
    </x:row>
    <x:row r="70" ht="80" customHeight="1">
      <x:c r="A70" s="170" t="str">
        <x:v>QA-065</x:v>
      </x:c>
      <x:c r="B70" s="170" t="str">
        <x:v>Regression</x:v>
      </x:c>
      <x:c r="C70" s="170" t="str">
        <x:v>Exact repaired desktop surfaces</x:v>
      </x:c>
      <x:c r="D70" s="170" t="str">
        <x:v>5 routes × 3 widths</x:v>
      </x:c>
      <x:c r="E70" s="170" t="str">
        <x:v>Local Playwright Chromium</x:v>
      </x:c>
      <x:c r="F70" s="170" t="str">
        <x:v>Yes</x:v>
      </x:c>
      <x:c r="G70" s="170" t="str">
        <x:v>T-016</x:v>
      </x:c>
      <x:c r="H70" s="170" t="str">
        <x:v>Passed</x:v>
      </x:c>
      <x:c r="I70" s="171" t="n">
        <x:v>46215.913194444445</x:v>
      </x:c>
      <x:c r="J70" s="170" t="str">
        <x:v>15/15 passed</x:v>
      </x:c>
      <x:c r="K70" s="170" t="str">
        <x:v>Services, SMS Contacts, Common Replies, Settings, and Move-In Assistant render without fatal UI, console error, or overflow.</x:v>
      </x:c>
    </x:row>
    <x:row r="71" ht="80" customHeight="1">
      <x:c r="A71" s="170" t="str">
        <x:v>QA-066</x:v>
      </x:c>
      <x:c r="B71" s="170" t="str">
        <x:v>Regression</x:v>
      </x:c>
      <x:c r="C71" s="170" t="str">
        <x:v>Layout and company-branch contracts</x:v>
      </x:c>
      <x:c r="D71" s="170" t="str">
        <x:v>N/A</x:v>
      </x:c>
      <x:c r="E71" s="170" t="str">
        <x:v>Vitest</x:v>
      </x:c>
      <x:c r="F71" s="170" t="str">
        <x:v>Yes</x:v>
      </x:c>
      <x:c r="G71" s="170" t="str">
        <x:v>T-016</x:v>
      </x:c>
      <x:c r="H71" s="170" t="str">
        <x:v>Passed</x:v>
      </x:c>
      <x:c r="I71" s="171" t="n">
        <x:v>46215.913194444445</x:v>
      </x:c>
      <x:c r="J71" s="170" t="str">
        <x:v>10/10 focused tests</x:v>
      </x:c>
      <x:c r="K71" s="170" t="str">
        <x:v>Branch CRUD invariants plus AppLayout and feature-title contracts passed.</x:v>
      </x:c>
    </x:row>
    <x:row r="72" ht="80" customHeight="1">
      <x:c r="A72" s="170" t="str">
        <x:v>QA-067</x:v>
      </x:c>
      <x:c r="B72" s="170" t="str">
        <x:v>Quality</x:v>
      </x:c>
      <x:c r="C72" s="170" t="str">
        <x:v>Complete branch code gates</x:v>
      </x:c>
      <x:c r="D72" s="170" t="str">
        <x:v>N/A</x:v>
      </x:c>
      <x:c r="E72" s="170" t="str">
        <x:v>Vitest + Node + tsc + ESLint + Vite</x:v>
      </x:c>
      <x:c r="F72" s="170" t="str">
        <x:v>Yes</x:v>
      </x:c>
      <x:c r="G72" s="170" t="str">
        <x:v>T-009</x:v>
      </x:c>
      <x:c r="H72" s="170" t="str">
        <x:v>Passed</x:v>
      </x:c>
      <x:c r="I72" s="171" t="n">
        <x:v>46215.913194444445</x:v>
      </x:c>
      <x:c r="J72" s="170" t="str">
        <x:v>769 unit; 44 policy; 16 incident</x:v>
      </x:c>
      <x:c r="K72" s="170" t="str">
        <x:v>TypeScript, focused lint, production build, and Checkly bundle also exited 0 after merging current main.</x:v>
      </x:c>
    </x:row>
    <x:row r="73" ht="80" customHeight="1">
      <x:c r="A73" s="170" t="str">
        <x:v>QA-068</x:v>
      </x:c>
      <x:c r="B73" s="170" t="str">
        <x:v>Regression</x:v>
      </x:c>
      <x:c r="C73" s="170" t="str">
        <x:v>Complete rendered desktop catalog</x:v>
      </x:c>
      <x:c r="D73" s="170" t="str">
        <x:v>194 behaviors</x:v>
      </x:c>
      <x:c r="E73" s="170" t="str">
        <x:v>Local Playwright Chromium</x:v>
      </x:c>
      <x:c r="F73" s="170" t="str">
        <x:v>Yes</x:v>
      </x:c>
      <x:c r="G73" s="170" t="str">
        <x:v>T-009</x:v>
      </x:c>
      <x:c r="H73" s="170" t="str">
        <x:v>Passed</x:v>
      </x:c>
      <x:c r="I73" s="171" t="n">
        <x:v>46215.913194444445</x:v>
      </x:c>
      <x:c r="J73" s="170" t="str">
        <x:v>194/194 passed in 2.7m</x:v>
      </x:c>
      <x:c r="K73" s="170" t="str">
        <x:v>Uncontended final rerun passed. Prior parallel resource-contention timeout remains recorded separately.</x:v>
      </x:c>
    </x:row>
    <x:row r="74" ht="80" customHeight="1">
      <x:c r="A74" s="170" t="str">
        <x:v>QA-069</x:v>
      </x:c>
      <x:c r="B74" s="170" t="str">
        <x:v>Automation</x:v>
      </x:c>
      <x:c r="C74" s="170" t="str">
        <x:v>Standalone Browser Base QA foundation</x:v>
      </x:c>
      <x:c r="D74" s="170" t="str">
        <x:v>12 journey/device entries</x:v>
      </x:c>
      <x:c r="E74" s="170" t="str">
        <x:v>Node + YAML</x:v>
      </x:c>
      <x:c r="F74" s="170" t="str">
        <x:v>Yes</x:v>
      </x:c>
      <x:c r="G74" s="170" t="str">
        <x:v>T-003</x:v>
      </x:c>
      <x:c r="H74" s="170" t="str">
        <x:v>Passed</x:v>
      </x:c>
      <x:c r="I74" s="171" t="n">
        <x:v>46215.90625</x:v>
      </x:c>
      <x:c r="J74" s="170" t="str">
        <x:v>4/4 contracts; 12-entry dry run; a468b1a</x:v>
      </x:c>
      <x:c r="K74" s="170" t="str">
        <x:v>Standalone registry now includes all 27 owner routes including Move-In Assistant.</x:v>
      </x:c>
    </x:row>
    <x:row r="75" ht="80" customHeight="1">
      <x:c r="A75" s="170" t="str">
        <x:v>QA-070</x:v>
      </x:c>
      <x:c r="B75" s="170" t="str">
        <x:v>Production</x:v>
      </x:c>
      <x:c r="C75" s="170" t="str">
        <x:v>Standalone public PestFlow oracles</x:v>
      </x:c>
      <x:c r="D75" s="170" t="str">
        <x:v>Production</x:v>
      </x:c>
      <x:c r="E75" s="170" t="str">
        <x:v>Read-only HTTP</x:v>
      </x:c>
      <x:c r="F75" s="170" t="str">
        <x:v>Yes</x:v>
      </x:c>
      <x:c r="G75" s="170" t="str">
        <x:v>T-011</x:v>
      </x:c>
      <x:c r="H75" s="170" t="str">
        <x:v>Failed</x:v>
      </x:c>
      <x:c r="I75" s="171" t="n">
        <x:v>46215.90625</x:v>
      </x:c>
      <x:c r="J75" s="170" t="str">
        <x:v>2/4 passed</x:v>
      </x:c>
      <x:c r="K75" s="170" t="str">
        <x:v>DB/schema pass; currently deployed frontend/API health omit deployment.commitSha and therefore fail closed.</x:v>
      </x:c>
    </x:row>
    <x:row r="76" ht="82" customHeight="1">
      <x:c r="A76" s="170" t="str">
        <x:v>QA-071</x:v>
      </x:c>
      <x:c r="B76" s="170" t="str">
        <x:v>Infrastructure</x:v>
      </x:c>
      <x:c r="C76" s="170" t="str">
        <x:v>Exact merged-head PR release gate</x:v>
      </x:c>
      <x:c r="D76" s="170" t="str">
        <x:v>GitHub runner</x:v>
      </x:c>
      <x:c r="E76" s="170" t="str">
        <x:v>GitHub Actions</x:v>
      </x:c>
      <x:c r="F76" s="170" t="str">
        <x:v>Yes</x:v>
      </x:c>
      <x:c r="G76" s="170" t="str">
        <x:v>T-011</x:v>
      </x:c>
      <x:c r="H76" s="170" t="str">
        <x:v>Blocked</x:v>
      </x:c>
      <x:c r="I76" s="171" t="n">
        <x:v>46215.913194444445</x:v>
      </x:c>
      <x:c r="J76" s="170" t="str">
        <x:v>Run 29210282667: zero steps</x:v>
      </x:c>
      <x:c r="K76" s="170" t="str">
        <x:v>Verified billing/spending refusal; no product or QA command started.</x:v>
      </x:c>
    </x:row>
    <x:row r="77" ht="82" customHeight="1">
      <x:c r="A77" s="170" t="str">
        <x:v>QA-072</x:v>
      </x:c>
      <x:c r="B77" s="170" t="str">
        <x:v>Infrastructure</x:v>
      </x:c>
      <x:c r="C77" s="170" t="str">
        <x:v>Exact merged-head 27-route owner proof</x:v>
      </x:c>
      <x:c r="D77" s="170" t="str">
        <x:v>1366×900</x:v>
      </x:c>
      <x:c r="E77" s="170" t="str">
        <x:v>GitHub Actions + Checkly</x:v>
      </x:c>
      <x:c r="F77" s="170" t="str">
        <x:v>Yes</x:v>
      </x:c>
      <x:c r="G77" s="170" t="str">
        <x:v>T-011</x:v>
      </x:c>
      <x:c r="H77" s="170" t="str">
        <x:v>Blocked</x:v>
      </x:c>
      <x:c r="I77" s="171" t="n">
        <x:v>46215.913194444445</x:v>
      </x:c>
      <x:c r="J77" s="170" t="str">
        <x:v>Run 29210311515: zero steps</x:v>
      </x:c>
      <x:c r="K77" s="170" t="str">
        <x:v>Same verified billing/spending refusal; no final-head cloud pass is claimed.</x:v>
      </x:c>
    </x:row>
    <x:row r="78" ht="78" customHeight="1">
      <x:c r="A78" s="170" t="str">
        <x:v>QA-073</x:v>
      </x:c>
      <x:c r="B78" s="170" t="str">
        <x:v>Automation</x:v>
      </x:c>
      <x:c r="C78" s="170" t="str">
        <x:v>Authenticated owner API registry policy</x:v>
      </x:c>
      <x:c r="D78" s="170" t="str">
        <x:v>32 endpoints</x:v>
      </x:c>
      <x:c r="E78" s="170" t="str">
        <x:v>Node + TypeScript + ESLint</x:v>
      </x:c>
      <x:c r="F78" s="170" t="str">
        <x:v>Yes</x:v>
      </x:c>
      <x:c r="G78" s="170" t="str">
        <x:v>T-007</x:v>
      </x:c>
      <x:c r="H78" s="170" t="str">
        <x:v>Passed</x:v>
      </x:c>
      <x:c r="I78" s="171" t="n">
        <x:v>46215.92916666667</x:v>
      </x:c>
      <x:c r="J78" s="170" t="str">
        <x:v>45/45 Guardian policy tests</x:v>
      </x:c>
      <x:c r="K78" s="170" t="str">
        <x:v>Paths, ids, schema keys, arrays, GET-only use, complete attempts, and body non-retention are locked.</x:v>
      </x:c>
    </x:row>
    <x:row r="79" ht="78" customHeight="1">
      <x:c r="A79" s="170" t="str">
        <x:v>QA-074</x:v>
      </x:c>
      <x:c r="B79" s="170" t="str">
        <x:v>Production</x:v>
      </x:c>
      <x:c r="C79" s="170" t="str">
        <x:v>Authenticated owner API contract audit</x:v>
      </x:c>
      <x:c r="D79" s="170" t="str">
        <x:v>32 endpoints</x:v>
      </x:c>
      <x:c r="E79" s="170" t="str">
        <x:v>Playwright API</x:v>
      </x:c>
      <x:c r="F79" s="170" t="str">
        <x:v>Yes</x:v>
      </x:c>
      <x:c r="G79" s="170" t="str">
        <x:v>T-007</x:v>
      </x:c>
      <x:c r="H79" s="170" t="str">
        <x:v>Failed</x:v>
      </x:c>
      <x:c r="I79" s="171" t="n">
        <x:v>46215.92916666667</x:v>
      </x:c>
      <x:c r="J79" s="170" t="str">
        <x:v>31/32 passed</x:v>
      </x:c>
      <x:c r="K79" s="170" t="str">
        <x:v>Only /companies/branches returned 500 on current production; all other registered data surfaces passed.</x:v>
      </x:c>
    </x:row>
    <x:row r="80" ht="78" customHeight="1">
      <x:c r="A80" s="170" t="str">
        <x:v>QA-075</x:v>
      </x:c>
      <x:c r="B80" s="170" t="str">
        <x:v>Production</x:v>
      </x:c>
      <x:c r="C80" s="170" t="str">
        <x:v>API-audit fixture teardown</x:v>
      </x:c>
      <x:c r="D80" s="170" t="str">
        <x:v>5 synthetic accounts</x:v>
      </x:c>
      <x:c r="E80" s="170" t="str">
        <x:v>Better Auth + API</x:v>
      </x:c>
      <x:c r="F80" s="170" t="str">
        <x:v>Yes</x:v>
      </x:c>
      <x:c r="G80" s="170" t="str">
        <x:v>T-007</x:v>
      </x:c>
      <x:c r="H80" s="170" t="str">
        <x:v>Passed</x:v>
      </x:c>
      <x:c r="I80" s="171" t="n">
        <x:v>46215.92916666667</x:v>
      </x:c>
      <x:c r="J80" s="170" t="str">
        <x:v>5/5 deleted; 5/5 sessions cleared; 5/5 logins rejected</x:v>
      </x:c>
      <x:c r="K80" s="170" t="str">
        <x:v>No reserved-domain account from this run remained usable.</x:v>
      </x:c>
    </x:row>
    <x:row r="81" ht="78" customHeight="1">
      <x:c r="A81" s="170" t="str">
        <x:v>QA-076</x:v>
      </x:c>
      <x:c r="B81" s="170" t="str">
        <x:v>Automation</x:v>
      </x:c>
      <x:c r="C81" s="170" t="str">
        <x:v>Standalone Browserbase owner API executor</x:v>
      </x:c>
      <x:c r="D81" s="170" t="str">
        <x:v>32 endpoints; 12 sessions</x:v>
      </x:c>
      <x:c r="E81" s="170" t="str">
        <x:v>Node + Guardian dry run</x:v>
      </x:c>
      <x:c r="F81" s="170" t="str">
        <x:v>Yes</x:v>
      </x:c>
      <x:c r="G81" s="170" t="str">
        <x:v>T-003</x:v>
      </x:c>
      <x:c r="H81" s="170" t="str">
        <x:v>Passed</x:v>
      </x:c>
      <x:c r="I81" s="171" t="n">
        <x:v>46215.92916666667</x:v>
      </x:c>
      <x:c r="J81" s="170" t="str">
        <x:v>6/6 tests; 12-entry dry run; 37f199c</x:v>
      </x:c>
      <x:c r="K81" s="170" t="str">
        <x:v>Browser fetch evidence retains only status, content type, timing, key names, and array counts.</x:v>
      </x:c>
    </x:row>
    <x:row r="82" ht="78" customHeight="1">
      <x:c r="A82" s="170" t="str">
        <x:v>QA-077</x:v>
      </x:c>
      <x:c r="B82" s="170" t="str">
        <x:v>Infrastructure</x:v>
      </x:c>
      <x:c r="C82" s="170" t="str">
        <x:v>Exact API-contract PR release gate</x:v>
      </x:c>
      <x:c r="D82" s="170" t="str">
        <x:v>GitHub runner</x:v>
      </x:c>
      <x:c r="E82" s="170" t="str">
        <x:v>GitHub Actions</x:v>
      </x:c>
      <x:c r="F82" s="170" t="str">
        <x:v>Yes</x:v>
      </x:c>
      <x:c r="G82" s="170" t="str">
        <x:v>T-011</x:v>
      </x:c>
      <x:c r="H82" s="170" t="str">
        <x:v>Blocked</x:v>
      </x:c>
      <x:c r="I82" s="171" t="n">
        <x:v>46215.92916666667</x:v>
      </x:c>
      <x:c r="J82" s="170" t="str">
        <x:v>Run 29211160983: zero steps</x:v>
      </x:c>
      <x:c r="K82" s="170" t="str">
        <x:v>Verified payment/spending refusal; no product or QA command started.</x:v>
      </x:c>
    </x:row>
    <x:row r="83" ht="78" customHeight="1">
      <x:c r="A83" s="170" t="str">
        <x:v>QA-078</x:v>
      </x:c>
      <x:c r="B83" s="170" t="str">
        <x:v>Documentation</x:v>
      </x:c>
      <x:c r="C83" s="170" t="str">
        <x:v>Complete standalone PRD parity</x:v>
      </x:c>
      <x:c r="D83" s="170" t="str">
        <x:v>492 lines</x:v>
      </x:c>
      <x:c r="E83" s="170" t="str">
        <x:v>File hash + GitHub</x:v>
      </x:c>
      <x:c r="F83" s="170" t="str">
        <x:v>Yes</x:v>
      </x:c>
      <x:c r="G83" s="170" t="str">
        <x:v>T-009</x:v>
      </x:c>
      <x:c r="H83" s="170" t="str">
        <x:v>Passed</x:v>
      </x:c>
      <x:c r="I83" s="171" t="n">
        <x:v>46215.92916666667</x:v>
      </x:c>
      <x:c r="J83" s="170" t="str">
        <x:v>Both PRDs have identical SHA-1; 17795cb</x:v>
      </x:c>
      <x:c r="K83" s="170" t="str">
        <x:v>The complete canonical PRD is published in Browser-Base-QA, not only PestFlow.</x:v>
      </x:c>
    </x:row>
    <x:row r="84" ht="78" customHeight="1">
      <x:c r="A84" s="170" t="str">
        <x:v>QA-079</x:v>
      </x:c>
      <x:c r="B84" s="170" t="str">
        <x:v>Production</x:v>
      </x:c>
      <x:c r="C84" s="170" t="str">
        <x:v>Owner Settings/Inventory resource lifecycles</x:v>
      </x:c>
      <x:c r="D84" s="170" t="str">
        <x:v>3 resources</x:v>
      </x:c>
      <x:c r="E84" s="170" t="str">
        <x:v>Playwright API</x:v>
      </x:c>
      <x:c r="F84" s="170" t="str">
        <x:v>Yes</x:v>
      </x:c>
      <x:c r="G84" s="170" t="str">
        <x:v>T-007</x:v>
      </x:c>
      <x:c r="H84" s="170" t="str">
        <x:v>Passed</x:v>
      </x:c>
      <x:c r="I84" s="171" t="n">
        <x:v>46215.93541666667</x:v>
      </x:c>
      <x:c r="J84" s="170" t="str">
        <x:v>1/1 in 2.4m</x:v>
      </x:c>
      <x:c r="K84" s="170" t="str">
        <x:v>Equipment, preset notes, and chemical products passed create/list/isolate/update/delete/absence proof.</x:v>
      </x:c>
    </x:row>
    <x:row r="85" ht="78" customHeight="1">
      <x:c r="A85" s="170" t="str">
        <x:v>QA-080</x:v>
      </x:c>
      <x:c r="B85" s="170" t="str">
        <x:v>Production</x:v>
      </x:c>
      <x:c r="C85" s="170" t="str">
        <x:v>Resource-lifecycle fixture teardown</x:v>
      </x:c>
      <x:c r="D85" s="170" t="str">
        <x:v>5 synthetic accounts</x:v>
      </x:c>
      <x:c r="E85" s="170" t="str">
        <x:v>Better Auth + API</x:v>
      </x:c>
      <x:c r="F85" s="170" t="str">
        <x:v>Yes</x:v>
      </x:c>
      <x:c r="G85" s="170" t="str">
        <x:v>T-007</x:v>
      </x:c>
      <x:c r="H85" s="170" t="str">
        <x:v>Passed</x:v>
      </x:c>
      <x:c r="I85" s="171" t="n">
        <x:v>46215.93541666667</x:v>
      </x:c>
      <x:c r="J85" s="170" t="str">
        <x:v>5/5 deleted; 5/5 sessions cleared; 5/5 logins rejected</x:v>
      </x:c>
      <x:c r="K85" s="170" t="str">
        <x:v>All explicitly created resources were removed before the company/account cascade.</x:v>
      </x:c>
    </x:row>
    <x:row r="86" ht="78" customHeight="1">
      <x:c r="A86" s="170" t="str">
        <x:v>QA-081</x:v>
      </x:c>
      <x:c r="B86" s="170" t="str">
        <x:v>Infrastructure</x:v>
      </x:c>
      <x:c r="C86" s="170" t="str">
        <x:v>Exact resource-lifecycle PR release gate</x:v>
      </x:c>
      <x:c r="D86" s="170" t="str">
        <x:v>GitHub runner</x:v>
      </x:c>
      <x:c r="E86" s="170" t="str">
        <x:v>GitHub Actions</x:v>
      </x:c>
      <x:c r="F86" s="170" t="str">
        <x:v>Yes</x:v>
      </x:c>
      <x:c r="G86" s="170" t="str">
        <x:v>T-011</x:v>
      </x:c>
      <x:c r="H86" s="170" t="str">
        <x:v>Blocked</x:v>
      </x:c>
      <x:c r="I86" s="171" t="n">
        <x:v>46215.93541666667</x:v>
      </x:c>
      <x:c r="J86" s="170" t="str">
        <x:v>Run 29211489437: zero steps</x:v>
      </x:c>
      <x:c r="K86" s="170" t="str">
        <x:v>Verified payment/spending refusal; no product or QA command started.</x:v>
      </x:c>
    </x:row>
    <x:row r="87" ht="78" customHeight="1">
      <x:c r="A87" s="170" t="str">
        <x:v>QA-082</x:v>
      </x:c>
      <x:c r="B87" s="170" t="str">
        <x:v>Production</x:v>
      </x:c>
      <x:c r="C87" s="170" t="str">
        <x:v>Provider-safe documents and communications</x:v>
      </x:c>
      <x:c r="D87" s="170" t="str">
        <x:v>5 outcome groups</x:v>
      </x:c>
      <x:c r="E87" s="170" t="str">
        <x:v>Playwright API</x:v>
      </x:c>
      <x:c r="F87" s="170" t="str">
        <x:v>Yes</x:v>
      </x:c>
      <x:c r="G87" s="170" t="str">
        <x:v>T-007</x:v>
      </x:c>
      <x:c r="H87" s="170" t="str">
        <x:v>Passed</x:v>
      </x:c>
      <x:c r="I87" s="171" t="n">
        <x:v>46215.94097222222</x:v>
      </x:c>
      <x:c r="J87" s="170" t="str">
        <x:v>1/1 in 2.4m</x:v>
      </x:c>
      <x:c r="K87" s="170" t="str">
        <x:v>Unsigned document, response template, disabled rule, internal message read, and preference restore passed.</x:v>
      </x:c>
    </x:row>
    <x:row r="88" ht="78" customHeight="1">
      <x:c r="A88" s="170" t="str">
        <x:v>QA-083</x:v>
      </x:c>
      <x:c r="B88" s="170" t="str">
        <x:v>Production</x:v>
      </x:c>
      <x:c r="C88" s="170" t="str">
        <x:v>Communications-lifecycle fixture teardown</x:v>
      </x:c>
      <x:c r="D88" s="170" t="str">
        <x:v>5 synthetic accounts</x:v>
      </x:c>
      <x:c r="E88" s="170" t="str">
        <x:v>Better Auth + API</x:v>
      </x:c>
      <x:c r="F88" s="170" t="str">
        <x:v>Yes</x:v>
      </x:c>
      <x:c r="G88" s="170" t="str">
        <x:v>T-007</x:v>
      </x:c>
      <x:c r="H88" s="170" t="str">
        <x:v>Passed</x:v>
      </x:c>
      <x:c r="I88" s="171" t="n">
        <x:v>46215.94097222222</x:v>
      </x:c>
      <x:c r="J88" s="170" t="str">
        <x:v>5/5 deleted; 5/5 sessions cleared; 5/5 logins rejected</x:v>
      </x:c>
      <x:c r="K88" s="170" t="str">
        <x:v>No provider action ran and no synthetic account remained usable.</x:v>
      </x:c>
    </x:row>
    <x:row r="89" ht="78" customHeight="1">
      <x:c r="A89" s="170" t="str">
        <x:v>QA-084</x:v>
      </x:c>
      <x:c r="B89" s="170" t="str">
        <x:v>Infrastructure</x:v>
      </x:c>
      <x:c r="C89" s="170" t="str">
        <x:v>Exact communications-lifecycle PR gate</x:v>
      </x:c>
      <x:c r="D89" s="170" t="str">
        <x:v>GitHub runner</x:v>
      </x:c>
      <x:c r="E89" s="170" t="str">
        <x:v>GitHub Actions</x:v>
      </x:c>
      <x:c r="F89" s="170" t="str">
        <x:v>Yes</x:v>
      </x:c>
      <x:c r="G89" s="170" t="str">
        <x:v>T-011</x:v>
      </x:c>
      <x:c r="H89" s="170" t="str">
        <x:v>Blocked</x:v>
      </x:c>
      <x:c r="I89" s="171" t="n">
        <x:v>46215.94097222222</x:v>
      </x:c>
      <x:c r="J89" s="170" t="str">
        <x:v>Run 29211754954: zero steps</x:v>
      </x:c>
      <x:c r="K89" s="170" t="str">
        <x:v>Verified payment/spending refusal; no product or QA command started.</x:v>
      </x:c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65"/>
      <x:c r="J90" s="133"/>
      <x:c r="K90" s="133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65"/>
      <x:c r="J91" s="133"/>
      <x:c r="K91" s="133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65"/>
      <x:c r="J92" s="133"/>
      <x:c r="K92" s="133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65"/>
      <x:c r="J93" s="133"/>
      <x:c r="K93" s="133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65"/>
      <x:c r="J94" s="133"/>
      <x:c r="K94" s="133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65"/>
      <x:c r="J95" s="133"/>
      <x:c r="K95" s="133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65"/>
      <x:c r="J96" s="133"/>
      <x:c r="K96" s="133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65"/>
      <x:c r="J97" s="133"/>
      <x:c r="K97" s="133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65"/>
      <x:c r="J98" s="133"/>
      <x:c r="K98" s="133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65"/>
      <x:c r="J99" s="133"/>
      <x:c r="K99" s="133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65"/>
      <x:c r="J100" s="133"/>
      <x:c r="K100" s="133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65"/>
      <x:c r="J101" s="133"/>
      <x:c r="K101" s="133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65"/>
      <x:c r="J102" s="133"/>
      <x:c r="K102" s="133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65"/>
      <x:c r="J103" s="133"/>
      <x:c r="K103" s="133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65"/>
      <x:c r="J104" s="133"/>
      <x:c r="K104" s="133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65"/>
      <x:c r="J105" s="133"/>
      <x:c r="K105" s="133"/>
    </x:row>
    <x:row r="106">
      <x:c r="I106" s="164"/>
    </x:row>
    <x:row r="107">
      <x:c r="I107" s="164"/>
    </x:row>
    <x:row r="108">
      <x:c r="I108" s="164"/>
    </x:row>
    <x:row r="109">
      <x:c r="I109" s="164"/>
    </x:row>
    <x:row r="110">
      <x:c r="I110" s="164"/>
    </x:row>
    <x:row r="111">
      <x:c r="I111" s="164"/>
    </x:row>
    <x:row r="112">
      <x:c r="I112" s="164"/>
    </x:row>
    <x:row r="113">
      <x:c r="I113" s="164"/>
    </x:row>
    <x:row r="114">
      <x:c r="I114" s="164"/>
    </x:row>
    <x:row r="115">
      <x:c r="I115" s="164"/>
    </x:row>
    <x:row r="116">
      <x:c r="I116" s="164"/>
    </x:row>
    <x:row r="117">
      <x:c r="I117" s="164"/>
    </x:row>
    <x:row r="118">
      <x:c r="I118" s="164"/>
    </x:row>
    <x:row r="119">
      <x:c r="I119" s="164"/>
    </x:row>
    <x:row r="120">
      <x:c r="I120" s="164"/>
    </x:row>
    <x:row r="121">
      <x:c r="I121" s="164"/>
    </x:row>
    <x:row r="122">
      <x:c r="I122" s="164"/>
    </x:row>
    <x:row r="123">
      <x:c r="I123" s="164"/>
    </x:row>
    <x:row r="124">
      <x:c r="I124" s="164"/>
    </x:row>
    <x:row r="125">
      <x:c r="I125" s="164"/>
    </x:row>
    <x:row r="126">
      <x:c r="I126" s="164"/>
    </x:row>
    <x:row r="127">
      <x:c r="I127" s="164"/>
    </x:row>
    <x:row r="128">
      <x:c r="I128" s="164"/>
    </x:row>
    <x:row r="129">
      <x:c r="I129" s="164"/>
    </x:row>
    <x:row r="130">
      <x:c r="I130" s="164"/>
    </x:row>
    <x:row r="131">
      <x:c r="I131" s="164"/>
    </x:row>
    <x:row r="132">
      <x:c r="I132" s="164"/>
    </x:row>
    <x:row r="133">
      <x:c r="I133" s="164"/>
    </x:row>
    <x:row r="134">
      <x:c r="I134" s="164"/>
    </x:row>
    <x:row r="135">
      <x:c r="I135" s="164"/>
    </x:row>
    <x:row r="136">
      <x:c r="I136" s="164"/>
    </x:row>
    <x:row r="137">
      <x:c r="I137" s="164"/>
    </x:row>
    <x:row r="138">
      <x:c r="I138" s="164"/>
    </x:row>
    <x:row r="139">
      <x:c r="I139" s="164"/>
    </x:row>
    <x:row r="140">
      <x:c r="I140" s="164"/>
    </x:row>
    <x:row r="141">
      <x:c r="I141" s="164"/>
    </x:row>
    <x:row r="142">
      <x:c r="I142" s="164"/>
    </x:row>
    <x:row r="143">
      <x:c r="I143" s="164"/>
    </x:row>
    <x:row r="144">
      <x:c r="I144" s="164"/>
    </x:row>
    <x:row r="145">
      <x:c r="I145" s="164"/>
    </x:row>
    <x:row r="146">
      <x:c r="I146" s="164"/>
    </x:row>
    <x:row r="147">
      <x:c r="I147" s="164"/>
    </x:row>
    <x:row r="148">
      <x:c r="I148" s="164"/>
    </x:row>
    <x:row r="149">
      <x:c r="I149" s="164"/>
    </x:row>
    <x:row r="150">
      <x:c r="I150" s="164"/>
    </x:row>
    <x:row r="151">
      <x:c r="I151" s="164"/>
    </x:row>
    <x:row r="152">
      <x:c r="I152" s="164"/>
    </x:row>
    <x:row r="153">
      <x:c r="I153" s="164"/>
    </x:row>
    <x:row r="154">
      <x:c r="I154" s="164"/>
    </x:row>
    <x:row r="155">
      <x:c r="I155" s="164"/>
    </x:row>
    <x:row r="156">
      <x:c r="I156" s="164"/>
    </x:row>
    <x:row r="157">
      <x:c r="I157" s="164"/>
    </x:row>
    <x:row r="158">
      <x:c r="I158" s="164"/>
    </x:row>
    <x:row r="159">
      <x:c r="I159" s="164"/>
    </x:row>
    <x:row r="160">
      <x:c r="I160" s="164"/>
    </x:row>
    <x:row r="161">
      <x:c r="I161" s="164"/>
    </x:row>
    <x:row r="162">
      <x:c r="I162" s="164"/>
    </x:row>
    <x:row r="163">
      <x:c r="I163" s="164"/>
    </x:row>
    <x:row r="164">
      <x:c r="I164" s="164"/>
    </x:row>
    <x:row r="165">
      <x:c r="I165" s="164"/>
    </x:row>
    <x:row r="166">
      <x:c r="I166" s="164"/>
    </x:row>
    <x:row r="167">
      <x:c r="I167" s="164"/>
    </x:row>
    <x:row r="168">
      <x:c r="I168" s="164"/>
    </x:row>
    <x:row r="169">
      <x:c r="I169" s="164"/>
    </x:row>
    <x:row r="170">
      <x:c r="I170" s="164"/>
    </x:row>
    <x:row r="171">
      <x:c r="I171" s="164"/>
    </x:row>
    <x:row r="172">
      <x:c r="I172" s="164"/>
    </x:row>
    <x:row r="173">
      <x:c r="I173" s="164"/>
    </x:row>
    <x:row r="174">
      <x:c r="I174" s="164"/>
    </x:row>
    <x:row r="175">
      <x:c r="I175" s="164"/>
    </x:row>
    <x:row r="176">
      <x:c r="I176" s="164"/>
    </x:row>
    <x:row r="177">
      <x:c r="I177" s="164"/>
    </x:row>
    <x:row r="178">
      <x:c r="I178" s="164"/>
    </x:row>
    <x:row r="179">
      <x:c r="I179" s="164"/>
    </x:row>
    <x:row r="180">
      <x:c r="I180" s="164"/>
    </x:row>
    <x:row r="181">
      <x:c r="I181" s="164"/>
    </x:row>
    <x:row r="182">
      <x:c r="I182" s="164"/>
    </x:row>
    <x:row r="183">
      <x:c r="I183" s="164"/>
    </x:row>
    <x:row r="184">
      <x:c r="I184" s="164"/>
    </x:row>
    <x:row r="185">
      <x:c r="I185" s="164"/>
    </x:row>
    <x:row r="186">
      <x:c r="I186" s="164"/>
    </x:row>
    <x:row r="187">
      <x:c r="I187" s="164"/>
    </x:row>
    <x:row r="188">
      <x:c r="I188" s="164"/>
    </x:row>
    <x:row r="189">
      <x:c r="I189" s="164"/>
    </x:row>
    <x:row r="190">
      <x:c r="I190" s="164"/>
    </x:row>
    <x:row r="191">
      <x:c r="I191" s="164"/>
    </x:row>
    <x:row r="192">
      <x:c r="I192" s="164"/>
    </x:row>
    <x:row r="193">
      <x:c r="I193" s="164"/>
    </x:row>
    <x:row r="194">
      <x:c r="I194" s="164"/>
    </x:row>
    <x:row r="195">
      <x:c r="I195" s="164"/>
    </x:row>
    <x:row r="196">
      <x:c r="I196" s="164"/>
    </x:row>
    <x:row r="197">
      <x:c r="I197" s="164"/>
    </x:row>
    <x:row r="198">
      <x:c r="I198" s="164"/>
    </x:row>
    <x:row r="199">
      <x:c r="I199" s="164"/>
    </x:row>
    <x:row r="200">
      <x:c r="I200" s="164"/>
    </x:row>
  </x:sheetData>
  <x:mergeCells>
    <x:mergeCell ref="A1:K1"/>
    <x:mergeCell ref="A2:K2"/>
  </x:mergeCells>
  <x:conditionalFormatting sqref="H6:H105">
    <x:cfRule type="containsText" dxfId="40" priority="1" operator="containsText" text="Done"/>
    <x:cfRule type="containsText" dxfId="41" priority="2" operator="containsText" text="Passed"/>
    <x:cfRule type="containsText" dxfId="42" priority="3" operator="containsText" text="In Progress"/>
    <x:cfRule type="containsText" dxfId="43" priority="4" operator="containsText" text="In Review"/>
    <x:cfRule type="containsText" dxfId="44" priority="5" operator="containsText" text="Blocked"/>
    <x:cfRule type="containsText" dxfId="45" priority="6" operator="containsText" text="Failed"/>
    <x:cfRule type="containsText" dxfId="46" priority="7" operator="containsText" text="Not Started"/>
    <x:cfRule type="containsText" dxfId="47" priority="8" operator="containsText" text="Pending"/>
  </x:conditionalFormatting>
  <x:dataValidations count="3">
    <x:dataValidation type="list" sqref="F6:F105">
      <x:formula1>"Yes,No,If Relevant"</x:formula1>
    </x:dataValidation>
    <x:dataValidation type="list" sqref="H6:H105">
      <x:formula1>"Pending,In Progress,Passed,Failed,Blocked,Not Needed"</x:formula1>
    </x:dataValidation>
    <x:dataValidation type="list" sqref="H6:H200">
      <x:formula1>"Pending,Passed,Failed,Blocked,Not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d9ecc38d9a468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34" hidden="0" customWidth="1"/>
    <x:col min="5" max="5" width="30" hidden="0" customWidth="1"/>
    <x:col min="6" max="6" width="12" hidden="0" customWidth="1"/>
    <x:col min="7" max="7" width="34" hidden="0" customWidth="1"/>
    <x:col min="8" max="8" width="14" hidden="0" customWidth="1"/>
    <x:col min="9" max="9" width="16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34" customHeight="1">
      <x:c r="A1" s="132" t="str">
        <x:v>Product Gaps</x:v>
      </x:c>
      <x:c r="B1" s="132" t="str">
        <x:v>Product Gaps</x:v>
      </x:c>
      <x:c r="C1" s="132" t="str">
        <x:v>Product Gaps</x:v>
      </x:c>
      <x:c r="D1" s="132" t="str">
        <x:v>Product Gaps</x:v>
      </x:c>
      <x:c r="E1" s="132" t="str">
        <x:v>Product Gaps</x:v>
      </x:c>
      <x:c r="F1" s="132" t="str">
        <x:v>Product Gaps</x:v>
      </x:c>
      <x:c r="G1" s="132" t="str">
        <x:v>Product Gaps</x:v>
      </x:c>
      <x:c r="H1" s="132" t="str">
        <x:v>Product Gaps</x:v>
      </x:c>
      <x:c r="I1" s="132" t="str">
        <x:v>Product Gaps</x:v>
      </x:c>
      <x:c r="J1" s="132" t="str">
        <x:v>Product Gaps</x:v>
      </x:c>
      <x:c r="K1" s="132" t="str">
        <x:v>Product Gaps</x:v>
      </x:c>
      <x:c r="L1" s="132" t="str">
        <x:v>Product Gaps</x:v>
      </x:c>
    </x:row>
    <x:row r="2" ht="32" customHeight="1">
      <x:c r="A2" s="7" t="str">
        <x:v>Capture gaps discovered while completing tasks. Record impact and evidence, propose a mechanism-level fix, and promote approved items into future Task IDs.</x:v>
      </x:c>
      <x:c r="B2" s="7" t="str">
        <x:v>Capture gaps discovered while completing tasks. Record impact and evidence, propose a mechanism-level fix, and promote approved items into future Task IDs.</x:v>
      </x:c>
      <x:c r="C2" s="7" t="str">
        <x:v>Capture gaps discovered while completing tasks. Record impact and evidence, propose a mechanism-level fix, and promote approved items into future Task IDs.</x:v>
      </x:c>
      <x:c r="D2" s="7" t="str">
        <x:v>Capture gaps discovered while completing tasks. Record impact and evidence, propose a mechanism-level fix, and promote approved items into future Task IDs.</x:v>
      </x:c>
      <x:c r="E2" s="7" t="str">
        <x:v>Capture gaps discovered while completing tasks. Record impact and evidence, propose a mechanism-level fix, and promote approved items into future Task IDs.</x:v>
      </x:c>
      <x:c r="F2" s="7" t="str">
        <x:v>Capture gaps discovered while completing tasks. Record impact and evidence, propose a mechanism-level fix, and promote approved items into future Task IDs.</x:v>
      </x:c>
      <x:c r="G2" s="7" t="str">
        <x:v>Capture gaps discovered while completing tasks. Record impact and evidence, propose a mechanism-level fix, and promote approved items into future Task IDs.</x:v>
      </x:c>
      <x:c r="H2" s="7" t="str">
        <x:v>Capture gaps discovered while completing tasks. Record impact and evidence, propose a mechanism-level fix, and promote approved items into future Task IDs.</x:v>
      </x:c>
      <x:c r="I2" s="7" t="str">
        <x:v>Capture gaps discovered while completing tasks. Record impact and evidence, propose a mechanism-level fix, and promote approved items into future Task IDs.</x:v>
      </x:c>
      <x:c r="J2" s="7" t="str">
        <x:v>Capture gaps discovered while completing tasks. Record impact and evidence, propose a mechanism-level fix, and promote approved items into future Task IDs.</x:v>
      </x:c>
      <x:c r="K2" s="7" t="str">
        <x:v>Capture gaps discovered while completing tasks. Record impact and evidence, propose a mechanism-level fix, and promote approved items into future Task IDs.</x:v>
      </x:c>
      <x:c r="L2" s="7" t="str">
        <x:v>Capture gaps discovered while completing tasks. Record impact and evidence, propose a mechanism-level fix, and promote approved items into future Task IDs.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</x:row>
    <x:row r="5" ht="15" hidden="0" customHeight="1">
      <x:c r="A5" s="160" t="str">
        <x:v>Gap ID</x:v>
      </x:c>
      <x:c r="B5" s="161" t="str">
        <x:v>Found During Task</x:v>
      </x:c>
      <x:c r="C5" s="161" t="str">
        <x:v>Type</x:v>
      </x:c>
      <x:c r="D5" s="161" t="str">
        <x:v>Description</x:v>
      </x:c>
      <x:c r="E5" s="161" t="str">
        <x:v>User Impact</x:v>
      </x:c>
      <x:c r="F5" s="161" t="str">
        <x:v>Severity</x:v>
      </x:c>
      <x:c r="G5" s="161" t="str">
        <x:v>Recommendation</x:v>
      </x:c>
      <x:c r="H5" s="161" t="str">
        <x:v>Status</x:v>
      </x:c>
      <x:c r="I5" s="161" t="str">
        <x:v>Added as Task ID</x:v>
      </x:c>
      <x:c r="J5" s="161" t="str">
        <x:v>Owner</x:v>
      </x:c>
      <x:c r="K5" s="161" t="str">
        <x:v>Evidence</x:v>
      </x:c>
      <x:c r="L5" s="162" t="str">
        <x:v>Notes</x:v>
      </x:c>
    </x:row>
    <x:row r="6" ht="15" hidden="0" customHeight="1">
      <x:c r="A6" s="113" t="str"/>
      <x:c r="B6" s="113" t="str"/>
      <x:c r="C6" s="113" t="str"/>
      <x:c r="D6" s="113" t="str"/>
      <x:c r="E6" s="113" t="str"/>
      <x:c r="F6" s="113" t="str"/>
      <x:c r="G6" s="113" t="str"/>
      <x:c r="H6" s="113" t="str"/>
      <x:c r="I6" s="113" t="str"/>
      <x:c r="J6" s="113" t="str"/>
      <x:c r="K6" s="113" t="str"/>
      <x:c r="L6" s="113" t="str"/>
    </x:row>
    <x:row r="7" ht="39.599998474121094" hidden="0" customHeight="1">
      <x:c r="A7" s="168" t="str">
        <x:v>G-001</x:v>
      </x:c>
      <x:c r="B7" s="168" t="str">
        <x:v>T-010</x:v>
      </x:c>
      <x:c r="C7" s="168" t="str">
        <x:v>Test Infrastructure</x:v>
      </x:c>
      <x:c r="D7" s="168" t="str">
        <x:v>Browserbase API key, project id, and persistent PestFlow QA owner context are not configured.</x:v>
      </x:c>
      <x:c r="E7" s="168" t="str">
        <x:v>Hourly/nightly authenticated semantic sessions cannot start, so live Stagehand evidence is unavailable.</x:v>
      </x:c>
      <x:c r="F7" s="168" t="str">
        <x:v>Critical</x:v>
      </x:c>
      <x:c r="G7" s="168" t="str">
        <x:v>Create a dedicated non-customer QA company/context, add the three GitHub secrets, and dispatch tier 0.</x:v>
      </x:c>
      <x:c r="H7" s="168" t="str">
        <x:v>Open</x:v>
      </x:c>
      <x:c r="I7" s="168" t="str">
        <x:v>T-010</x:v>
      </x:c>
      <x:c r="J7" s="168" t="str">
        <x:v>Trevor</x:v>
      </x:c>
      <x:c r="K7" s="168" t="str">
        <x:v>Guardian preflight and local env inspection</x:v>
      </x:c>
      <x:c r="L7" s="168" t="str">
        <x:v>Do not use a real customer tenant.</x:v>
      </x:c>
    </x:row>
    <x:row r="8" ht="39.599998474121094" hidden="0" customHeight="1">
      <x:c r="A8" s="168" t="str">
        <x:v>G-002</x:v>
      </x:c>
      <x:c r="B8" s="168" t="str">
        <x:v>T-009</x:v>
      </x:c>
      <x:c r="C8" s="168" t="str">
        <x:v>Technical Debt</x:v>
      </x:c>
      <x:c r="D8" s="168" t="str">
        <x:v>Repository-wide eslint baseline contains 613 errors and 49 warnings.</x:v>
      </x:c>
      <x:c r="E8" s="168" t="str">
        <x:v>A global lint check cannot currently serve as a meaningful release gate and may hide newly introduced debt.</x:v>
      </x:c>
      <x:c r="F8" s="168" t="str">
        <x:v>High</x:v>
      </x:c>
      <x:c r="G8" s="168" t="str">
        <x:v>Add touched-file lint as the immediate ratchet, then reduce legacy violations by high-risk desktop/runtime domain.</x:v>
      </x:c>
      <x:c r="H8" s="168" t="str">
        <x:v>Open</x:v>
      </x:c>
      <x:c r="I8" s="168" t="str">
        <x:v>T-012</x:v>
      </x:c>
      <x:c r="J8" s="168" t="str">
        <x:v>Unassigned</x:v>
      </x:c>
      <x:c r="K8" s="168" t="str">
        <x:v>npm run lint on clean origin/main worktree</x:v>
      </x:c>
      <x:c r="L8" s="168" t="str">
        <x:v>New Guardian files are lint-clean.</x:v>
      </x:c>
    </x:row>
    <x:row r="9" ht="39.599998474121094" hidden="0" customHeight="1">
      <x:c r="A9" s="168" t="str">
        <x:v>G-003</x:v>
      </x:c>
      <x:c r="B9" s="168" t="str">
        <x:v>T-009</x:v>
      </x:c>
      <x:c r="C9" s="168" t="str">
        <x:v>Performance</x:v>
      </x:c>
      <x:c r="D9" s="168" t="str">
        <x:v>Production build emits multiple chunks over 500 kB, including a roughly 721 kB chunk.</x:v>
      </x:c>
      <x:c r="E9" s="168" t="str">
        <x:v>Large desktop downloads can increase cold-load and hydration time, especially on slower devices.</x:v>
      </x:c>
      <x:c r="F9" s="168" t="str">
        <x:v>Medium</x:v>
      </x:c>
      <x:c r="G9" s="168" t="str">
        <x:v>Measure route-level Web Vitals, then split the largest shared/payment/reporting chunks by user journey.</x:v>
      </x:c>
      <x:c r="H9" s="168" t="str">
        <x:v>Open</x:v>
      </x:c>
      <x:c r="I9" s="168"/>
      <x:c r="J9" s="168" t="str">
        <x:v>Unassigned</x:v>
      </x:c>
      <x:c r="K9" s="168" t="str">
        <x:v>npm run build output</x:v>
      </x:c>
      <x:c r="L9" s="168" t="str">
        <x:v>Treat measured user impact as the prioritization oracle.</x:v>
      </x:c>
    </x:row>
    <x:row r="10" ht="39.599998474121094" hidden="0" customHeight="1">
      <x:c r="A10" s="168" t="str">
        <x:v>G-004</x:v>
      </x:c>
      <x:c r="B10" s="168" t="str">
        <x:v>T-009</x:v>
      </x:c>
      <x:c r="C10" s="168" t="str">
        <x:v>Maintenance</x:v>
      </x:c>
      <x:c r="D10" s="168" t="str">
        <x:v>Browserslist/caniuse data is about 13 months old and the build reports a deprecated punycode dependency.</x:v>
      </x:c>
      <x:c r="E10" s="168" t="str">
        <x:v>Browser targeting and dependency warnings become less trustworthy over time.</x:v>
      </x:c>
      <x:c r="F10" s="168" t="str">
        <x:v>Low</x:v>
      </x:c>
      <x:c r="G10" s="168" t="str">
        <x:v>Refresh Browserslist data in a dedicated dependency PR and trace the punycode transitive owner before upgrading.</x:v>
      </x:c>
      <x:c r="H10" s="168" t="str">
        <x:v>Open</x:v>
      </x:c>
      <x:c r="I10" s="168"/>
      <x:c r="J10" s="168" t="str">
        <x:v>Unassigned</x:v>
      </x:c>
      <x:c r="K10" s="168" t="str">
        <x:v>Build and test output</x:v>
      </x:c>
      <x:c r="L10" s="168" t="str">
        <x:v>Avoid combining this with the Guardian feature branch.</x:v>
      </x:c>
    </x:row>
    <x:row r="11" ht="52.79999923706055" hidden="0" customHeight="1">
      <x:c r="A11" s="168" t="str">
        <x:v>G-005</x:v>
      </x:c>
      <x:c r="B11" s="168" t="str">
        <x:v>T-003</x:v>
      </x:c>
      <x:c r="C11" s="168" t="str">
        <x:v>Test Infrastructure</x:v>
      </x:c>
      <x:c r="D11" s="168" t="str">
        <x:v>No dedicated QA-tenant reset/cleanup contract exists for safe semantic write journeys.</x:v>
      </x:c>
      <x:c r="E11" s="168" t="str">
        <x:v>The Guardian can verify read-only production coherence but cannot safely prove create/send/payment outcomes semantically.</x:v>
      </x:c>
      <x:c r="F11" s="168" t="str">
        <x:v>High</x:v>
      </x:c>
      <x:c r="G11" s="168" t="str">
        <x:v>Add QA-only tenant reset, idempotency, provider allowlists, test merchant accounts, cleanup verification, and kill switch.</x:v>
      </x:c>
      <x:c r="H11" s="168" t="str">
        <x:v>Open</x:v>
      </x:c>
      <x:c r="I11" s="168"/>
      <x:c r="J11" s="168" t="str">
        <x:v>Unassigned</x:v>
      </x:c>
      <x:c r="K11" s="168" t="str">
        <x:v>/private/tmp/pestflow-desktop-qa-guardian/docs/qa-guardian.md</x:v>
      </x:c>
      <x:c r="L11" s="168" t="str">
        <x:v>Deterministic production suite already covers synthetic writes separately.</x:v>
      </x:c>
    </x:row>
    <x:row r="12" ht="39.599998474121094" hidden="0" customHeight="1">
      <x:c r="A12" s="168" t="str">
        <x:v>G-006</x:v>
      </x:c>
      <x:c r="B12" s="168" t="str">
        <x:v>T-004</x:v>
      </x:c>
      <x:c r="C12" s="168" t="str">
        <x:v>QA Operations</x:v>
      </x:c>
      <x:c r="D12" s="168" t="str">
        <x:v>GitHub artifact storage quota caused successful product tests to appear as failed workflows.</x:v>
      </x:c>
      <x:c r="E12" s="168" t="str">
        <x:v>False alarms waste repair cycles and erode trust in QA.</x:v>
      </x:c>
      <x:c r="F12" s="168" t="str">
        <x:v>High</x:v>
      </x:c>
      <x:c r="G12" s="168" t="str">
        <x:v>Keep uploads non-blocking, shorten retention, classify metadata/log evidence, and retain Browserbase replay independently.</x:v>
      </x:c>
      <x:c r="H12" s="168" t="str">
        <x:v>Mitigated</x:v>
      </x:c>
      <x:c r="I12" s="168" t="str">
        <x:v>T-004</x:v>
      </x:c>
      <x:c r="J12" s="168" t="str">
        <x:v>Codex</x:v>
      </x:c>
      <x:c r="K12" s="168" t="str">
        <x:v>Runs 29180099833, 29179936027, and successful PR run 29182844822</x:v>
      </x:c>
      <x:c r="L12" s="168" t="str">
        <x:v>Classifier tests preserve real product failures.</x:v>
      </x:c>
    </x:row>
    <x:row r="13" ht="39.599998474121094" hidden="0" customHeight="1">
      <x:c r="A13" s="168" t="str">
        <x:v>G-007</x:v>
      </x:c>
      <x:c r="B13" s="168" t="str">
        <x:v>T-011</x:v>
      </x:c>
      <x:c r="C13" s="168" t="str">
        <x:v>Release Process</x:v>
      </x:c>
      <x:c r="D13" s="168" t="str">
        <x:v>The reusable candidate gate is not yet called by the real staging deploy or required by branch protection.</x:v>
      </x:c>
      <x:c r="E13" s="168" t="str">
        <x:v>A good workflow file alone cannot stop an unvalidated promotion.</x:v>
      </x:c>
      <x:c r="F13" s="168" t="str">
        <x:v>Critical</x:v>
      </x:c>
      <x:c r="G13" s="168" t="str">
        <x:v>Live production and staging are each 2/4: DB/schema pass; service identity awaits this branch. Deploy an isolated candidate, rerun 4/4 with expected_sha, then connect promotion policy.</x:v>
      </x:c>
      <x:c r="H13" s="168" t="str">
        <x:v>Open</x:v>
      </x:c>
      <x:c r="I13" s="168" t="str">
        <x:v>T-011</x:v>
      </x:c>
      <x:c r="J13" s="168" t="str">
        <x:v>Trevor</x:v>
      </x:c>
      <x:c r="K13" s="168" t="str">
        <x:v>/private/tmp/pestflow-desktop-qa-guardian/.github/workflows/desktop-qa-release-gate.yml</x:v>
      </x:c>
      <x:c r="L13" s="168" t="str">
        <x:v>Do not substitute current-production testing for candidate testing.</x:v>
      </x:c>
    </x:row>
    <x:row r="14" ht="80" hidden="0" customHeight="1">
      <x:c r="A14" s="174" t="str">
        <x:v>G-008</x:v>
      </x:c>
      <x:c r="B14" s="174" t="str">
        <x:v>T-013</x:v>
      </x:c>
      <x:c r="C14" s="174" t="str">
        <x:v>Mobile Auth QA</x:v>
      </x:c>
      <x:c r="D14" s="174" t="str">
        <x:v>The Checkly mobile field email-signup check timed out at the auth-role screen.</x:v>
      </x:c>
      <x:c r="E14" s="174" t="str">
        <x:v>A real new mobile user may be unable to advance, or the check may be waiting on stale text; the current evidence does not yet distinguish product from test drift.</x:v>
      </x:c>
      <x:c r="F14" s="174" t="str">
        <x:v>High</x:v>
      </x:c>
      <x:c r="G14" s="174" t="str">
        <x:v>Rerun the isolated mobile signup check, inspect trace/screenshot state, reproduce at 390×844, then fix product or selector and keep permanent coverage.</x:v>
      </x:c>
      <x:c r="H14" s="174" t="str">
        <x:v>Resolved</x:v>
      </x:c>
      <x:c r="I14" s="174" t="str">
        <x:v>T-013</x:v>
      </x:c>
      <x:c r="J14" s="174" t="str">
        <x:v>Codex</x:v>
      </x:c>
      <x:c r="K14" s="174" t="str">
        <x:v>Run 29203535900; commit 325541d; PR #89</x:v>
      </x:c>
      <x:c r="L14" s="174" t="str">
        <x:v>Live signup passed. Assertion now checks only active auth screens, preventing dormant modal text from creating false alarms.</x:v>
      </x:c>
    </x:row>
    <x:row r="15" ht="86" hidden="0" customHeight="1">
      <x:c r="A15" s="174" t="str">
        <x:v>G-009</x:v>
      </x:c>
      <x:c r="B15" s="174" t="str">
        <x:v>T-003</x:v>
      </x:c>
      <x:c r="C15" s="174" t="str">
        <x:v>Desktop Performance QA</x:v>
      </x:c>
      <x:c r="D15" s="174" t="str">
        <x:v>Reports appeared to miss readiness during some cloud runs, but diagnostics showed the page rendered and an optional chained setup-goals modal hid its heading from the accessibility tree.</x:v>
      </x:c>
      <x:c r="E15" s="174" t="str">
        <x:v>False Reports alarms can waste repair time and hide whether the underlying route is actually unhealthy.</x:v>
      </x:c>
      <x:c r="F15" s="174" t="str">
        <x:v>High</x:v>
      </x:c>
      <x:c r="G15" s="174" t="str">
        <x:v>Use the bounded known-dialog settling state machine, retain route/resource diagnostics, and require exact-head cloud confirmation after runner access returns.</x:v>
      </x:c>
      <x:c r="H15" s="174" t="str">
        <x:v>Mitigated</x:v>
      </x:c>
      <x:c r="I15" s="174" t="str">
        <x:v>T-014</x:v>
      </x:c>
      <x:c r="J15" s="174" t="str">
        <x:v>Codex</x:v>
      </x:c>
      <x:c r="K15" s="174" t="str">
        <x:v>Runs 29205191769 and 29205363968; commit 4f6df89</x:v>
      </x:c>
      <x:c r="L15" s="174" t="str">
        <x:v>Root cause identified and fix pushed; final cloud proof is blocked by GitHub Actions billing, not a product assertion.</x:v>
      </x:c>
    </x:row>
    <x:row r="16" ht="92" customHeight="1">
      <x:c r="A16" s="174" t="str">
        <x:v>G-010</x:v>
      </x:c>
      <x:c r="B16" s="174" t="str">
        <x:v>T-011</x:v>
      </x:c>
      <x:c r="C16" s="174" t="str">
        <x:v>QA Operations</x:v>
      </x:c>
      <x:c r="D16" s="174" t="str">
        <x:v>GitHub Actions currently refuses all new jobs because the account reports failed payments or an exceeded spending limit.</x:v>
      </x:c>
      <x:c r="E16" s="174" t="str">
        <x:v>No new release-gate or Checkly cloud proof can execute, so an untested commit must not be promoted or called green.</x:v>
      </x:c>
      <x:c r="F16" s="174" t="str">
        <x:v>Critical</x:v>
      </x:c>
      <x:c r="G16" s="174" t="str">
        <x:v>Restore Actions billing/spending capacity, rerun the isolated owner and complete catalog at the exact head, then reconnect required promotion checks.</x:v>
      </x:c>
      <x:c r="H16" s="174" t="str">
        <x:v>Open</x:v>
      </x:c>
      <x:c r="I16" s="174" t="str">
        <x:v>T-011</x:v>
      </x:c>
      <x:c r="J16" s="174" t="str">
        <x:v>Trevor</x:v>
      </x:c>
      <x:c r="K16" s="174" t="str">
        <x:v>Runs 29205363968, 29205583408, 29206496145, and 29206513846; commit c68009f</x:v>
      </x:c>
      <x:c r="L16" s="174" t="str">
        <x:v>Classifier mitigation is now tested and pushed, but the runner itself remains unavailable until account billing/spending capacity is restored.</x:v>
      </x:c>
    </x:row>
    <x:row r="17" ht="94" customHeight="1">
      <x:c r="A17" s="174" t="str">
        <x:v>G-011</x:v>
      </x:c>
      <x:c r="B17" s="174" t="str">
        <x:v>T-009</x:v>
      </x:c>
      <x:c r="C17" s="174" t="str">
        <x:v>QA Infrastructure</x:v>
      </x:c>
      <x:c r="D17" s="174" t="str">
        <x:v>Local Playwright could silently reuse a Vite server from a different worktree when the default port was occupied.</x:v>
      </x:c>
      <x:c r="E17" s="174" t="str">
        <x:v>Tests could report false failures or false passes against the wrong candidate, corrupting release evidence.</x:v>
      </x:c>
      <x:c r="F17" s="174" t="str">
        <x:v>Critical</x:v>
      </x:c>
      <x:c r="G17" s="174" t="str">
        <x:v>Use a dedicated default port, strict-port startup, explicit reuse opt-in, and a policy test that prevents hard-coded reuseExistingServer=true.</x:v>
      </x:c>
      <x:c r="H17" s="174" t="str">
        <x:v>Resolved</x:v>
      </x:c>
      <x:c r="I17" s="174" t="str">
        <x:v>T-009</x:v>
      </x:c>
      <x:c r="J17" s="174" t="str">
        <x:v>Codex</x:v>
      </x:c>
      <x:c r="K17" s="174" t="str">
        <x:v>pestflow-growth-kit PID 2023 on port 5173; exact branch passed 193/193 on 5187</x:v>
      </x:c>
      <x:c r="L17" s="174" t="str">
        <x:v>Fixed in c68009f and verified with the foreign server still running.</x:v>
      </x:c>
    </x:row>
    <x:row r="18" ht="108" customHeight="1">
      <x:c r="A18" s="174" t="str">
        <x:v>G-012</x:v>
      </x:c>
      <x:c r="B18" s="174" t="str">
        <x:v>T-015</x:v>
      </x:c>
      <x:c r="C18" s="174" t="str">
        <x:v>QA Data Hygiene</x:v>
      </x:c>
      <x:c r="D18" s="174" t="str">
        <x:v>Earlier deterministic production runs may have left reserved-domain QA users, companies, and business records.</x:v>
      </x:c>
      <x:c r="E18" s="174" t="str">
        <x:v>Accumulated test data can distort production counts and weakens confidence that QA is isolated and repeatable.</x:v>
      </x:c>
      <x:c r="F18" s="174" t="str">
        <x:v>High</x:v>
      </x:c>
      <x:c r="G18" s="174" t="str">
        <x:v>Preview exact reserved-domain records with DB authority, obtain approval, delete transactionally, verify zero remaining, and retain audit evidence.</x:v>
      </x:c>
      <x:c r="H18" s="174" t="str">
        <x:v>Open</x:v>
      </x:c>
      <x:c r="I18" s="174" t="str">
        <x:v>T-015</x:v>
      </x:c>
      <x:c r="J18" s="174" t="str">
        <x:v>Unassigned</x:v>
      </x:c>
      <x:c r="K18" s="174" t="str">
        <x:v>Production read-only inventory 2026-07-12: 55 users, 22 companies, 66 sessions, 22 customers/jobs/invoices; addd1a6</x:v>
      </x:c>
      <x:c r="L18" s="174" t="str">
        <x:v>Scope is now quantified. Deletion remains blocked on explicit authority; new runs already self-clean 5/5.</x:v>
      </x:c>
    </x:row>
    <x:row r="19" ht="116" customHeight="1">
      <x:c r="A19" s="174" t="str">
        <x:v>G-013</x:v>
      </x:c>
      <x:c r="B19" s="174" t="str">
        <x:v>T-007</x:v>
      </x:c>
      <x:c r="C19" s="174" t="str">
        <x:v>Desktop Runtime</x:v>
      </x:c>
      <x:c r="D19" s="174" t="str">
        <x:v>SMS Contacts and Common Replies crash in current production because they omit the AppLayout title expected by the shared help center.</x:v>
      </x:c>
      <x:c r="E19" s="174" t="str">
        <x:v>Owners see an error boundary instead of messaging tools at every required desktop width.</x:v>
      </x:c>
      <x:c r="F19" s="174" t="str">
        <x:v>Critical</x:v>
      </x:c>
      <x:c r="G19" s="174" t="str">
        <x:v>Deploy the feature titles and defensive AppLayout/help-center contract, then prove both routes at three widths.</x:v>
      </x:c>
      <x:c r="H19" s="174" t="str">
        <x:v>Open</x:v>
      </x:c>
      <x:c r="I19" s="174" t="str">
        <x:v>T-016</x:v>
      </x:c>
      <x:c r="J19" s="174" t="str">
        <x:v>Trevor + Codex</x:v>
      </x:c>
      <x:c r="K19" s="174" t="str">
        <x:v>Branch fixed; 15/15 focused renders and 194/194 uncontended full suite pass at b10e176.</x:v>
      </x:c>
      <x:c r="L19" s="174" t="str">
        <x:v>Production certification pending deploy and 81/81 rerun.</x:v>
      </x:c>
    </x:row>
    <x:row r="20" ht="116" customHeight="1">
      <x:c r="A20" s="174" t="str">
        <x:v>G-014</x:v>
      </x:c>
      <x:c r="B20" s="174" t="str">
        <x:v>T-007</x:v>
      </x:c>
      <x:c r="C20" s="174" t="str">
        <x:v>Desktop API</x:v>
      </x:c>
      <x:c r="D20" s="174" t="str">
        <x:v>Settings GET /companies/branches returns 500 because the literal route is missing and /companies/:id interprets branches as a UUID.</x:v>
      </x:c>
      <x:c r="E20" s="174" t="str">
        <x:v>Branch management cannot load reliably and the production audit records a first-party server failure.</x:v>
      </x:c>
      <x:c r="F20" s="174" t="str">
        <x:v>Critical</x:v>
      </x:c>
      <x:c r="G20" s="174" t="str">
        <x:v>Deploy company-scoped branch CRUD routes before /:id and verify no Settings 5xx in the live matrix.</x:v>
      </x:c>
      <x:c r="H20" s="174" t="str">
        <x:v>Open</x:v>
      </x:c>
      <x:c r="I20" s="174" t="str">
        <x:v>T-016</x:v>
      </x:c>
      <x:c r="J20" s="174" t="str">
        <x:v>Trevor + Codex</x:v>
      </x:c>
      <x:c r="K20" s="174" t="str">
        <x:v>Live contract audit reproduces only this endpoint: 31/32 passed. Branch unit and lifecycle coverage are green at 7a8d746.</x:v>
      </x:c>
      <x:c r="L20" s="174" t="str">
        <x:v>Production certification pending deploy, 32/32 rerun, and exact-SHA oracle proof.</x:v>
      </x:c>
    </x:row>
    <x:row r="21" ht="116" customHeight="1">
      <x:c r="A21" s="174" t="str">
        <x:v>G-015</x:v>
      </x:c>
      <x:c r="B21" s="174" t="str">
        <x:v>T-007</x:v>
      </x:c>
      <x:c r="C21" s="174" t="str">
        <x:v>Desktop Accessibility</x:v>
      </x:c>
      <x:c r="D21" s="174" t="str">
        <x:v>The currently served Services screen does not expose the readiness heading required by its route contract.</x:v>
      </x:c>
      <x:c r="E21" s="174" t="str">
        <x:v>Users and assistive/browser automation lack a stable page identity; production fails this surface at all three widths.</x:v>
      </x:c>
      <x:c r="F21" s="174" t="str">
        <x:v>High</x:v>
      </x:c>
      <x:c r="G21" s="174" t="str">
        <x:v>Deploy the branch Services heading and keep the shared readiness catalog assertion.</x:v>
      </x:c>
      <x:c r="H21" s="174" t="str">
        <x:v>Open</x:v>
      </x:c>
      <x:c r="I21" s="174" t="str">
        <x:v>T-016</x:v>
      </x:c>
      <x:c r="J21" s="174" t="str">
        <x:v>Trevor + Codex</x:v>
      </x:c>
      <x:c r="K21" s="174" t="str">
        <x:v>Branch Services and Move-In Assistant renders pass at all three widths.</x:v>
      </x:c>
      <x:c r="L21" s="174" t="str">
        <x:v>Production certification pending deploy and 81/81 rerun.</x:v>
      </x:c>
    </x:row>
  </x:sheetData>
  <x:mergeCells>
    <x:mergeCell ref="A1:L1"/>
    <x:mergeCell ref="A2:L2"/>
  </x:mergeCells>
  <x:conditionalFormatting sqref="H6:H105">
    <x:cfRule type="containsText" dxfId="48" priority="1" operator="containsText" text="Done"/>
    <x:cfRule type="containsText" dxfId="49" priority="2" operator="containsText" text="Passed"/>
    <x:cfRule type="containsText" dxfId="50" priority="3" operator="containsText" text="In Progress"/>
    <x:cfRule type="containsText" dxfId="51" priority="4" operator="containsText" text="In Review"/>
    <x:cfRule type="containsText" dxfId="52" priority="5" operator="containsText" text="Blocked"/>
    <x:cfRule type="containsText" dxfId="53" priority="6" operator="containsText" text="Failed"/>
    <x:cfRule type="containsText" dxfId="54" priority="7" operator="containsText" text="Not Started"/>
    <x:cfRule type="containsText" dxfId="55" priority="8" operator="containsText" text="Pending"/>
  </x:conditionalFormatting>
  <x:dataValidations count="5">
    <x:dataValidation type="list" sqref="C6:C105">
      <x:formula1>"Product,Design,Accessibility,Performance,Content,Technical,Analytics,Security"</x:formula1>
    </x:dataValidation>
    <x:dataValidation type="list" sqref="F6:F105">
      <x:formula1>"Critical,High,Medium,Low"</x:formula1>
    </x:dataValidation>
    <x:dataValidation type="list" sqref="H6:H105">
      <x:formula1>"New,Triaged,Planned,In Progress,Closed,Won't Do"</x:formula1>
    </x:dataValidation>
    <x:dataValidation type="list" sqref="F6:F200">
      <x:formula1>"Low,Medium,High,Critical"</x:formula1>
    </x:dataValidation>
    <x:dataValidation type="list" sqref="H6:H200">
      <x:formula1>"Open,Planned,In Progress,Mitigated,Resolved,Closed"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0f6b7dc1ee47e0"/>
  </x:tableParts>
</x:worksheet>
</file>